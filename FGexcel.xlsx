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n-A013-19\Downloads\"/>
    </mc:Choice>
  </mc:AlternateContent>
  <xr:revisionPtr revIDLastSave="0" documentId="13_ncr:1_{BEBABDAE-6F91-4F0B-8DA6-DFDE079C9EC3}" xr6:coauthVersionLast="47" xr6:coauthVersionMax="47" xr10:uidLastSave="{00000000-0000-0000-0000-000000000000}"/>
  <bookViews>
    <workbookView xWindow="765" yWindow="3390" windowWidth="21600" windowHeight="11385" activeTab="2" xr2:uid="{19EE711A-3283-4873-9107-9C9869A047C7}"/>
  </bookViews>
  <sheets>
    <sheet name="Dictionary" sheetId="3" r:id="rId1"/>
    <sheet name="operations" sheetId="2" r:id="rId2"/>
    <sheet name="1" sheetId="4" r:id="rId3"/>
    <sheet name="2" sheetId="5" r:id="rId4"/>
    <sheet name="3" sheetId="6" r:id="rId5"/>
    <sheet name="4" sheetId="7" r:id="rId6"/>
    <sheet name="5" sheetId="8" r:id="rId7"/>
    <sheet name="6" sheetId="9" r:id="rId8"/>
    <sheet name="7" sheetId="10" r:id="rId9"/>
    <sheet name="8" sheetId="11" r:id="rId10"/>
    <sheet name="9" sheetId="12" r:id="rId11"/>
    <sheet name="10" sheetId="13" r:id="rId12"/>
    <sheet name="11" sheetId="14" r:id="rId13"/>
    <sheet name="12" sheetId="15" r:id="rId14"/>
    <sheet name="summary1" sheetId="16" r:id="rId15"/>
    <sheet name="summary2" sheetId="18" r:id="rId16"/>
    <sheet name="summary3" sheetId="19" r:id="rId17"/>
  </sheets>
  <calcPr calcId="191028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8" i="2" l="1"/>
  <c r="E208" i="2"/>
  <c r="H6" i="18"/>
  <c r="G9" i="18"/>
  <c r="I12" i="18"/>
  <c r="F13" i="18"/>
  <c r="N13" i="18"/>
  <c r="J17" i="18"/>
  <c r="C12" i="18"/>
  <c r="I6" i="16" a="1"/>
  <c r="I6" i="16" s="1"/>
  <c r="H9" i="16" a="1"/>
  <c r="H9" i="16" s="1"/>
  <c r="F11" i="16" a="1"/>
  <c r="F11" i="16" s="1"/>
  <c r="M11" i="16" a="1"/>
  <c r="M11" i="16" s="1"/>
  <c r="G12" i="16" a="1"/>
  <c r="G12" i="16" s="1"/>
  <c r="J16" i="16" a="1"/>
  <c r="J16" i="16" s="1"/>
  <c r="B11" i="15" a="1"/>
  <c r="B11" i="15" s="1"/>
  <c r="B11" i="14" a="1"/>
  <c r="B11" i="14" s="1"/>
  <c r="B11" i="13" a="1"/>
  <c r="B11" i="13" s="1"/>
  <c r="B11" i="12" a="1"/>
  <c r="B11" i="12" s="1"/>
  <c r="B11" i="11" a="1"/>
  <c r="B11" i="11" s="1"/>
  <c r="B11" i="10" a="1"/>
  <c r="B11" i="10" s="1"/>
  <c r="B11" i="9" a="1"/>
  <c r="B11" i="9" s="1"/>
  <c r="B11" i="8" a="1"/>
  <c r="B11" i="8" s="1"/>
  <c r="B11" i="7" a="1"/>
  <c r="B11" i="7" s="1"/>
  <c r="B11" i="6" a="1"/>
  <c r="B11" i="6" s="1"/>
  <c r="B11" i="5" a="1"/>
  <c r="B11" i="5" s="1"/>
  <c r="B11" i="4" a="1"/>
  <c r="B11" i="4" s="1"/>
  <c r="C9" i="4"/>
  <c r="G2" i="2"/>
  <c r="I5" i="18" s="1"/>
  <c r="G3" i="2"/>
  <c r="K16" i="18" s="1"/>
  <c r="G4" i="2"/>
  <c r="J2" i="18" s="1"/>
  <c r="G5" i="2"/>
  <c r="G6" i="2"/>
  <c r="K7" i="18" s="1"/>
  <c r="G7" i="2"/>
  <c r="G8" i="2"/>
  <c r="F15" i="18" s="1"/>
  <c r="G9" i="2"/>
  <c r="H8" i="18" s="1"/>
  <c r="G10" i="2"/>
  <c r="G12" i="18" s="1"/>
  <c r="G11" i="2"/>
  <c r="D4" i="18" s="1"/>
  <c r="G12" i="2"/>
  <c r="J10" i="18" s="1"/>
  <c r="G13" i="2"/>
  <c r="G14" i="2"/>
  <c r="G3" i="18" s="1"/>
  <c r="G15" i="2"/>
  <c r="G16" i="2"/>
  <c r="E9" i="18" s="1"/>
  <c r="G17" i="2"/>
  <c r="G18" i="2"/>
  <c r="G19" i="2"/>
  <c r="D13" i="18" s="1"/>
  <c r="G20" i="2"/>
  <c r="G21" i="2"/>
  <c r="F6" i="18" s="1"/>
  <c r="G22" i="2"/>
  <c r="F14" i="16" s="1" a="1"/>
  <c r="F14" i="16" s="1"/>
  <c r="G23" i="2"/>
  <c r="G24" i="2"/>
  <c r="G25" i="2"/>
  <c r="G26" i="2"/>
  <c r="G27" i="2"/>
  <c r="G28" i="2"/>
  <c r="G29" i="2"/>
  <c r="G30" i="2"/>
  <c r="J8" i="18" s="1"/>
  <c r="G31" i="2"/>
  <c r="G32" i="2"/>
  <c r="E19" i="18" s="1"/>
  <c r="E20" i="18" s="1"/>
  <c r="G33" i="2"/>
  <c r="G34" i="2"/>
  <c r="G35" i="2"/>
  <c r="G36" i="2"/>
  <c r="G37" i="2"/>
  <c r="G38" i="2"/>
  <c r="F4" i="18" s="1"/>
  <c r="G39" i="2"/>
  <c r="G40" i="2"/>
  <c r="G41" i="2"/>
  <c r="G42" i="2"/>
  <c r="G43" i="2"/>
  <c r="G44" i="2"/>
  <c r="G45" i="2"/>
  <c r="G46" i="2"/>
  <c r="N5" i="16" s="1" a="1"/>
  <c r="N5" i="16" s="1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I14" i="18" s="1"/>
  <c r="G61" i="2"/>
  <c r="G62" i="2"/>
  <c r="G63" i="2"/>
  <c r="G64" i="2"/>
  <c r="G65" i="2"/>
  <c r="G66" i="2"/>
  <c r="G67" i="2"/>
  <c r="G68" i="2"/>
  <c r="G69" i="2"/>
  <c r="G70" i="2"/>
  <c r="G19" i="18" s="1"/>
  <c r="G20" i="18" s="1"/>
  <c r="G71" i="2"/>
  <c r="G72" i="2"/>
  <c r="G73" i="2"/>
  <c r="G74" i="2"/>
  <c r="G75" i="2"/>
  <c r="G76" i="2"/>
  <c r="G77" i="2"/>
  <c r="G78" i="2"/>
  <c r="J13" i="16" s="1" a="1"/>
  <c r="J13" i="16" s="1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J10" i="16" s="1" a="1"/>
  <c r="J10" i="16" s="1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H2" i="16" s="1" a="1"/>
  <c r="H2" i="16" s="1"/>
  <c r="G111" i="2"/>
  <c r="G112" i="2"/>
  <c r="G113" i="2"/>
  <c r="G114" i="2"/>
  <c r="G115" i="2"/>
  <c r="G116" i="2"/>
  <c r="G117" i="2"/>
  <c r="G118" i="2"/>
  <c r="G119" i="2"/>
  <c r="G120" i="2"/>
  <c r="G121" i="2"/>
  <c r="H17" i="18" s="1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E16" i="18" s="1"/>
  <c r="G199" i="2"/>
  <c r="G200" i="2"/>
  <c r="G201" i="2"/>
  <c r="G202" i="2"/>
  <c r="G203" i="2"/>
  <c r="G204" i="2"/>
  <c r="G205" i="2"/>
  <c r="G206" i="2"/>
  <c r="G207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F8" i="16" l="1" a="1"/>
  <c r="F8" i="16" s="1"/>
  <c r="D4" i="16" a="1"/>
  <c r="D4" i="16" s="1"/>
  <c r="M16" i="18"/>
  <c r="M2" i="16" a="1"/>
  <c r="M2" i="16" s="1"/>
  <c r="E2" i="16" a="1"/>
  <c r="E2" i="16" s="1"/>
  <c r="I17" i="16" a="1"/>
  <c r="I17" i="16" s="1"/>
  <c r="G16" i="16" a="1"/>
  <c r="G16" i="16" s="1"/>
  <c r="K15" i="16" a="1"/>
  <c r="K15" i="16" s="1"/>
  <c r="D15" i="16" a="1"/>
  <c r="D15" i="16" s="1"/>
  <c r="J14" i="16" a="1"/>
  <c r="J14" i="16" s="1"/>
  <c r="C14" i="16" a="1"/>
  <c r="C14" i="16" s="1"/>
  <c r="G13" i="16" a="1"/>
  <c r="G13" i="16" s="1"/>
  <c r="L12" i="16" a="1"/>
  <c r="L12" i="16" s="1"/>
  <c r="E12" i="16" a="1"/>
  <c r="E12" i="16" s="1"/>
  <c r="C11" i="16" a="1"/>
  <c r="C11" i="16" s="1"/>
  <c r="G10" i="16" a="1"/>
  <c r="G10" i="16" s="1"/>
  <c r="L9" i="16" a="1"/>
  <c r="L9" i="16" s="1"/>
  <c r="F9" i="16" a="1"/>
  <c r="F9" i="16" s="1"/>
  <c r="K8" i="16" a="1"/>
  <c r="K8" i="16" s="1"/>
  <c r="C8" i="16" a="1"/>
  <c r="C8" i="16" s="1"/>
  <c r="H7" i="16" a="1"/>
  <c r="H7" i="16" s="1"/>
  <c r="M6" i="16" a="1"/>
  <c r="M6" i="16" s="1"/>
  <c r="K5" i="16" a="1"/>
  <c r="K5" i="16" s="1"/>
  <c r="I4" i="16" a="1"/>
  <c r="I4" i="16" s="1"/>
  <c r="M3" i="16" a="1"/>
  <c r="M3" i="16" s="1"/>
  <c r="C17" i="18"/>
  <c r="C8" i="18"/>
  <c r="L19" i="18"/>
  <c r="L20" i="18" s="1"/>
  <c r="D19" i="18"/>
  <c r="D20" i="18" s="1"/>
  <c r="G17" i="18"/>
  <c r="J16" i="18"/>
  <c r="M15" i="18"/>
  <c r="E15" i="18"/>
  <c r="H14" i="18"/>
  <c r="K13" i="18"/>
  <c r="N12" i="18"/>
  <c r="F12" i="18"/>
  <c r="I10" i="18"/>
  <c r="L9" i="18"/>
  <c r="D9" i="18"/>
  <c r="G8" i="18"/>
  <c r="J7" i="18"/>
  <c r="M6" i="18"/>
  <c r="E6" i="18"/>
  <c r="H5" i="18"/>
  <c r="K4" i="18"/>
  <c r="N3" i="18"/>
  <c r="F3" i="18"/>
  <c r="I2" i="18"/>
  <c r="N15" i="16" a="1"/>
  <c r="N15" i="16" s="1"/>
  <c r="N8" i="16" a="1"/>
  <c r="N8" i="16" s="1"/>
  <c r="C7" i="16" a="1"/>
  <c r="C7" i="16" s="1"/>
  <c r="C2" i="16" a="1"/>
  <c r="C2" i="16" s="1"/>
  <c r="H15" i="18"/>
  <c r="L2" i="16" a="1"/>
  <c r="L2" i="16" s="1"/>
  <c r="D2" i="16" a="1"/>
  <c r="D2" i="16" s="1"/>
  <c r="H17" i="16" a="1"/>
  <c r="H17" i="16" s="1"/>
  <c r="N16" i="16" a="1"/>
  <c r="N16" i="16" s="1"/>
  <c r="F16" i="16" a="1"/>
  <c r="F16" i="16" s="1"/>
  <c r="C15" i="16" a="1"/>
  <c r="C15" i="16" s="1"/>
  <c r="I14" i="16" a="1"/>
  <c r="I14" i="16" s="1"/>
  <c r="N13" i="16" a="1"/>
  <c r="N13" i="16" s="1"/>
  <c r="F13" i="16" a="1"/>
  <c r="F13" i="16" s="1"/>
  <c r="K12" i="16" a="1"/>
  <c r="K12" i="16" s="1"/>
  <c r="D12" i="16" a="1"/>
  <c r="D12" i="16" s="1"/>
  <c r="J11" i="16" a="1"/>
  <c r="J11" i="16" s="1"/>
  <c r="N10" i="16" a="1"/>
  <c r="N10" i="16" s="1"/>
  <c r="K9" i="16" a="1"/>
  <c r="K9" i="16" s="1"/>
  <c r="E9" i="16" a="1"/>
  <c r="E9" i="16" s="1"/>
  <c r="J8" i="16" a="1"/>
  <c r="J8" i="16" s="1"/>
  <c r="N7" i="16" a="1"/>
  <c r="N7" i="16" s="1"/>
  <c r="G7" i="16" a="1"/>
  <c r="G7" i="16" s="1"/>
  <c r="L6" i="16" a="1"/>
  <c r="L6" i="16" s="1"/>
  <c r="F6" i="16" a="1"/>
  <c r="F6" i="16" s="1"/>
  <c r="J5" i="16" a="1"/>
  <c r="J5" i="16" s="1"/>
  <c r="C5" i="16" a="1"/>
  <c r="C5" i="16" s="1"/>
  <c r="H4" i="16" a="1"/>
  <c r="H4" i="16" s="1"/>
  <c r="L3" i="16" a="1"/>
  <c r="L3" i="16" s="1"/>
  <c r="F3" i="16" a="1"/>
  <c r="F3" i="16" s="1"/>
  <c r="C16" i="18"/>
  <c r="C7" i="18"/>
  <c r="K19" i="18"/>
  <c r="K20" i="18" s="1"/>
  <c r="N17" i="18"/>
  <c r="F17" i="18"/>
  <c r="I16" i="18"/>
  <c r="L15" i="18"/>
  <c r="D15" i="18"/>
  <c r="G14" i="18"/>
  <c r="J13" i="18"/>
  <c r="M12" i="18"/>
  <c r="E12" i="18"/>
  <c r="H10" i="18"/>
  <c r="K9" i="18"/>
  <c r="N8" i="18"/>
  <c r="F8" i="18"/>
  <c r="I7" i="18"/>
  <c r="L6" i="18"/>
  <c r="D6" i="18"/>
  <c r="G5" i="18"/>
  <c r="J4" i="18"/>
  <c r="M3" i="18"/>
  <c r="E3" i="18"/>
  <c r="H2" i="18"/>
  <c r="K17" i="16" a="1"/>
  <c r="K17" i="16" s="1"/>
  <c r="L14" i="16" a="1"/>
  <c r="L14" i="16" s="1"/>
  <c r="K4" i="16" a="1"/>
  <c r="K4" i="16" s="1"/>
  <c r="I3" i="16" a="1"/>
  <c r="I3" i="16" s="1"/>
  <c r="C3" i="18"/>
  <c r="K2" i="16" a="1"/>
  <c r="K2" i="16" s="1"/>
  <c r="N17" i="16" a="1"/>
  <c r="N17" i="16" s="1"/>
  <c r="G17" i="16" a="1"/>
  <c r="G17" i="16" s="1"/>
  <c r="M16" i="16" a="1"/>
  <c r="M16" i="16" s="1"/>
  <c r="E16" i="16" a="1"/>
  <c r="E16" i="16" s="1"/>
  <c r="J15" i="16" a="1"/>
  <c r="J15" i="16" s="1"/>
  <c r="H14" i="16" a="1"/>
  <c r="H14" i="16" s="1"/>
  <c r="M13" i="16" a="1"/>
  <c r="M13" i="16" s="1"/>
  <c r="E13" i="16" a="1"/>
  <c r="E13" i="16" s="1"/>
  <c r="J12" i="16" a="1"/>
  <c r="J12" i="16" s="1"/>
  <c r="C12" i="16" a="1"/>
  <c r="C12" i="16" s="1"/>
  <c r="I11" i="16" a="1"/>
  <c r="I11" i="16" s="1"/>
  <c r="M10" i="16" a="1"/>
  <c r="M10" i="16" s="1"/>
  <c r="F10" i="16" a="1"/>
  <c r="F10" i="16" s="1"/>
  <c r="D9" i="16" a="1"/>
  <c r="D9" i="16" s="1"/>
  <c r="I8" i="16" a="1"/>
  <c r="I8" i="16" s="1"/>
  <c r="M7" i="16" a="1"/>
  <c r="M7" i="16" s="1"/>
  <c r="F7" i="16" a="1"/>
  <c r="F7" i="16" s="1"/>
  <c r="K6" i="16" a="1"/>
  <c r="K6" i="16" s="1"/>
  <c r="E6" i="16" a="1"/>
  <c r="E6" i="16" s="1"/>
  <c r="I5" i="16" a="1"/>
  <c r="I5" i="16" s="1"/>
  <c r="N4" i="16" a="1"/>
  <c r="N4" i="16" s="1"/>
  <c r="G4" i="16" a="1"/>
  <c r="G4" i="16" s="1"/>
  <c r="E3" i="16" a="1"/>
  <c r="E3" i="16" s="1"/>
  <c r="C15" i="18"/>
  <c r="C6" i="18"/>
  <c r="J19" i="18"/>
  <c r="J20" i="18" s="1"/>
  <c r="M17" i="18"/>
  <c r="E17" i="18"/>
  <c r="H16" i="18"/>
  <c r="K15" i="18"/>
  <c r="N14" i="18"/>
  <c r="F14" i="18"/>
  <c r="I13" i="18"/>
  <c r="L12" i="18"/>
  <c r="D12" i="18"/>
  <c r="G10" i="18"/>
  <c r="J9" i="18"/>
  <c r="M8" i="18"/>
  <c r="E8" i="18"/>
  <c r="H7" i="18"/>
  <c r="K6" i="18"/>
  <c r="N5" i="18"/>
  <c r="F5" i="18"/>
  <c r="I4" i="18"/>
  <c r="L3" i="18"/>
  <c r="D3" i="18"/>
  <c r="G2" i="18"/>
  <c r="D3" i="4"/>
  <c r="E3" i="4" s="1"/>
  <c r="J2" i="16" a="1"/>
  <c r="J2" i="16" s="1"/>
  <c r="M17" i="16" a="1"/>
  <c r="M17" i="16" s="1"/>
  <c r="L16" i="16" a="1"/>
  <c r="L16" i="16" s="1"/>
  <c r="D16" i="16" a="1"/>
  <c r="D16" i="16" s="1"/>
  <c r="I15" i="16" a="1"/>
  <c r="I15" i="16" s="1"/>
  <c r="N14" i="16" a="1"/>
  <c r="N14" i="16" s="1"/>
  <c r="G14" i="16" a="1"/>
  <c r="G14" i="16" s="1"/>
  <c r="L13" i="16" a="1"/>
  <c r="L13" i="16" s="1"/>
  <c r="D13" i="16" a="1"/>
  <c r="D13" i="16" s="1"/>
  <c r="I12" i="16" a="1"/>
  <c r="I12" i="16" s="1"/>
  <c r="H11" i="16" a="1"/>
  <c r="H11" i="16" s="1"/>
  <c r="L10" i="16" a="1"/>
  <c r="L10" i="16" s="1"/>
  <c r="E10" i="16" a="1"/>
  <c r="E10" i="16" s="1"/>
  <c r="J9" i="16" a="1"/>
  <c r="J9" i="16" s="1"/>
  <c r="C9" i="16" a="1"/>
  <c r="C9" i="16" s="1"/>
  <c r="H8" i="16" a="1"/>
  <c r="H8" i="16" s="1"/>
  <c r="L7" i="16" a="1"/>
  <c r="L7" i="16" s="1"/>
  <c r="E7" i="16" a="1"/>
  <c r="E7" i="16" s="1"/>
  <c r="D6" i="16" a="1"/>
  <c r="D6" i="16" s="1"/>
  <c r="H5" i="16" a="1"/>
  <c r="H5" i="16" s="1"/>
  <c r="M4" i="16" a="1"/>
  <c r="M4" i="16" s="1"/>
  <c r="F4" i="16" a="1"/>
  <c r="F4" i="16" s="1"/>
  <c r="K3" i="16" a="1"/>
  <c r="K3" i="16" s="1"/>
  <c r="D3" i="16" a="1"/>
  <c r="D3" i="16" s="1"/>
  <c r="C14" i="18"/>
  <c r="C5" i="18"/>
  <c r="I19" i="18"/>
  <c r="I20" i="18" s="1"/>
  <c r="L17" i="18"/>
  <c r="D17" i="18"/>
  <c r="G16" i="18"/>
  <c r="J15" i="18"/>
  <c r="M14" i="18"/>
  <c r="E14" i="18"/>
  <c r="H13" i="18"/>
  <c r="K12" i="18"/>
  <c r="N10" i="18"/>
  <c r="F10" i="18"/>
  <c r="I9" i="18"/>
  <c r="L8" i="18"/>
  <c r="D8" i="18"/>
  <c r="G7" i="18"/>
  <c r="J6" i="18"/>
  <c r="M5" i="18"/>
  <c r="E5" i="18"/>
  <c r="H4" i="18"/>
  <c r="K3" i="18"/>
  <c r="N2" i="18"/>
  <c r="F2" i="18"/>
  <c r="I2" i="16" a="1"/>
  <c r="I2" i="16" s="1"/>
  <c r="L17" i="16" a="1"/>
  <c r="L17" i="16" s="1"/>
  <c r="F17" i="16" a="1"/>
  <c r="F17" i="16" s="1"/>
  <c r="K16" i="16" a="1"/>
  <c r="K16" i="16" s="1"/>
  <c r="C16" i="16" a="1"/>
  <c r="C16" i="16" s="1"/>
  <c r="H15" i="16" a="1"/>
  <c r="H15" i="16" s="1"/>
  <c r="M14" i="16" a="1"/>
  <c r="M14" i="16" s="1"/>
  <c r="K13" i="16" a="1"/>
  <c r="K13" i="16" s="1"/>
  <c r="C13" i="16" a="1"/>
  <c r="C13" i="16" s="1"/>
  <c r="H12" i="16" a="1"/>
  <c r="H12" i="16" s="1"/>
  <c r="N11" i="16" a="1"/>
  <c r="N11" i="16" s="1"/>
  <c r="G11" i="16" a="1"/>
  <c r="G11" i="16" s="1"/>
  <c r="K10" i="16" a="1"/>
  <c r="K10" i="16" s="1"/>
  <c r="D10" i="16" a="1"/>
  <c r="D10" i="16" s="1"/>
  <c r="I9" i="16" a="1"/>
  <c r="I9" i="16" s="1"/>
  <c r="G8" i="16" a="1"/>
  <c r="G8" i="16" s="1"/>
  <c r="K7" i="16" a="1"/>
  <c r="K7" i="16" s="1"/>
  <c r="D7" i="16" a="1"/>
  <c r="D7" i="16" s="1"/>
  <c r="J6" i="16" a="1"/>
  <c r="J6" i="16" s="1"/>
  <c r="C6" i="16" a="1"/>
  <c r="C6" i="16" s="1"/>
  <c r="G5" i="16" a="1"/>
  <c r="G5" i="16" s="1"/>
  <c r="L4" i="16" a="1"/>
  <c r="L4" i="16" s="1"/>
  <c r="E4" i="16" a="1"/>
  <c r="E4" i="16" s="1"/>
  <c r="J3" i="16" a="1"/>
  <c r="J3" i="16" s="1"/>
  <c r="C3" i="16" a="1"/>
  <c r="C3" i="16" s="1"/>
  <c r="C13" i="18"/>
  <c r="C4" i="18"/>
  <c r="H19" i="18"/>
  <c r="H20" i="18" s="1"/>
  <c r="K17" i="18"/>
  <c r="N16" i="18"/>
  <c r="F16" i="18"/>
  <c r="I15" i="18"/>
  <c r="L14" i="18"/>
  <c r="D14" i="18"/>
  <c r="G13" i="18"/>
  <c r="J12" i="18"/>
  <c r="M10" i="18"/>
  <c r="E10" i="18"/>
  <c r="H9" i="18"/>
  <c r="K8" i="18"/>
  <c r="N7" i="18"/>
  <c r="F7" i="18"/>
  <c r="I6" i="18"/>
  <c r="L5" i="18"/>
  <c r="D5" i="18"/>
  <c r="G4" i="18"/>
  <c r="J3" i="18"/>
  <c r="M2" i="18"/>
  <c r="E2" i="18"/>
  <c r="E17" i="16" a="1"/>
  <c r="E17" i="16" s="1"/>
  <c r="K14" i="18"/>
  <c r="L10" i="18"/>
  <c r="D10" i="18"/>
  <c r="M7" i="18"/>
  <c r="E7" i="18"/>
  <c r="K5" i="18"/>
  <c r="N4" i="18"/>
  <c r="I3" i="18"/>
  <c r="L2" i="18"/>
  <c r="D2" i="18"/>
  <c r="G15" i="16" a="1"/>
  <c r="G15" i="16" s="1"/>
  <c r="C10" i="16" a="1"/>
  <c r="C10" i="16" s="1"/>
  <c r="F5" i="16" a="1"/>
  <c r="F5" i="16" s="1"/>
  <c r="G2" i="16" a="1"/>
  <c r="G2" i="16" s="1"/>
  <c r="D17" i="16" a="1"/>
  <c r="D17" i="16" s="1"/>
  <c r="I16" i="16" a="1"/>
  <c r="I16" i="16" s="1"/>
  <c r="M15" i="16" a="1"/>
  <c r="M15" i="16" s="1"/>
  <c r="F15" i="16" a="1"/>
  <c r="F15" i="16" s="1"/>
  <c r="K14" i="16" a="1"/>
  <c r="K14" i="16" s="1"/>
  <c r="E14" i="16" a="1"/>
  <c r="E14" i="16" s="1"/>
  <c r="I13" i="16" a="1"/>
  <c r="I13" i="16" s="1"/>
  <c r="N12" i="16" a="1"/>
  <c r="N12" i="16" s="1"/>
  <c r="L11" i="16" a="1"/>
  <c r="L11" i="16" s="1"/>
  <c r="E11" i="16" a="1"/>
  <c r="E11" i="16" s="1"/>
  <c r="I10" i="16" a="1"/>
  <c r="I10" i="16" s="1"/>
  <c r="N9" i="16" a="1"/>
  <c r="N9" i="16" s="1"/>
  <c r="G9" i="16" a="1"/>
  <c r="G9" i="16" s="1"/>
  <c r="M8" i="16" a="1"/>
  <c r="M8" i="16" s="1"/>
  <c r="E8" i="16" a="1"/>
  <c r="E8" i="16" s="1"/>
  <c r="J7" i="16" a="1"/>
  <c r="J7" i="16" s="1"/>
  <c r="H6" i="16" a="1"/>
  <c r="H6" i="16" s="1"/>
  <c r="M5" i="16" a="1"/>
  <c r="M5" i="16" s="1"/>
  <c r="E5" i="16" a="1"/>
  <c r="E5" i="16" s="1"/>
  <c r="C4" i="16" a="1"/>
  <c r="C4" i="16" s="1"/>
  <c r="H3" i="16" a="1"/>
  <c r="H3" i="16" s="1"/>
  <c r="C2" i="18"/>
  <c r="C10" i="18"/>
  <c r="N19" i="18"/>
  <c r="N20" i="18" s="1"/>
  <c r="F19" i="18"/>
  <c r="F20" i="18" s="1"/>
  <c r="I17" i="18"/>
  <c r="L16" i="18"/>
  <c r="D16" i="18"/>
  <c r="G15" i="18"/>
  <c r="J14" i="18"/>
  <c r="M13" i="18"/>
  <c r="E13" i="18"/>
  <c r="H12" i="18"/>
  <c r="K10" i="18"/>
  <c r="N9" i="18"/>
  <c r="F9" i="18"/>
  <c r="I8" i="18"/>
  <c r="L7" i="18"/>
  <c r="D7" i="18"/>
  <c r="G6" i="18"/>
  <c r="J5" i="18"/>
  <c r="M4" i="18"/>
  <c r="E4" i="18"/>
  <c r="H3" i="18"/>
  <c r="K2" i="18"/>
  <c r="N2" i="16" a="1"/>
  <c r="N2" i="16" s="1"/>
  <c r="F2" i="16" a="1"/>
  <c r="F2" i="16" s="1"/>
  <c r="J17" i="16" a="1"/>
  <c r="J17" i="16" s="1"/>
  <c r="C17" i="16" a="1"/>
  <c r="C17" i="16" s="1"/>
  <c r="H16" i="16" a="1"/>
  <c r="H16" i="16" s="1"/>
  <c r="L15" i="16" a="1"/>
  <c r="L15" i="16" s="1"/>
  <c r="E15" i="16" a="1"/>
  <c r="E15" i="16" s="1"/>
  <c r="D14" i="16" a="1"/>
  <c r="D14" i="16" s="1"/>
  <c r="H13" i="16" a="1"/>
  <c r="H13" i="16" s="1"/>
  <c r="M12" i="16" a="1"/>
  <c r="M12" i="16" s="1"/>
  <c r="F12" i="16" a="1"/>
  <c r="F12" i="16" s="1"/>
  <c r="K11" i="16" a="1"/>
  <c r="K11" i="16" s="1"/>
  <c r="D11" i="16" a="1"/>
  <c r="D11" i="16" s="1"/>
  <c r="H10" i="16" a="1"/>
  <c r="H10" i="16" s="1"/>
  <c r="M9" i="16" a="1"/>
  <c r="M9" i="16" s="1"/>
  <c r="L8" i="16" a="1"/>
  <c r="L8" i="16" s="1"/>
  <c r="D8" i="16" a="1"/>
  <c r="D8" i="16" s="1"/>
  <c r="I7" i="16" a="1"/>
  <c r="I7" i="16" s="1"/>
  <c r="N6" i="16" a="1"/>
  <c r="N6" i="16" s="1"/>
  <c r="G6" i="16" a="1"/>
  <c r="G6" i="16" s="1"/>
  <c r="L5" i="16" a="1"/>
  <c r="L5" i="16" s="1"/>
  <c r="D5" i="16" a="1"/>
  <c r="D5" i="16" s="1"/>
  <c r="J4" i="16" a="1"/>
  <c r="J4" i="16" s="1"/>
  <c r="N3" i="16" a="1"/>
  <c r="N3" i="16" s="1"/>
  <c r="G3" i="16" a="1"/>
  <c r="G3" i="16" s="1"/>
  <c r="C19" i="18"/>
  <c r="C20" i="18" s="1"/>
  <c r="C9" i="18"/>
  <c r="M19" i="18"/>
  <c r="M20" i="18" s="1"/>
  <c r="N15" i="18"/>
  <c r="N18" i="18" s="1"/>
  <c r="L13" i="18"/>
  <c r="M9" i="18"/>
  <c r="N6" i="18"/>
  <c r="L4" i="18"/>
  <c r="K9" i="15"/>
  <c r="K8" i="15"/>
  <c r="K6" i="15"/>
  <c r="K4" i="15"/>
  <c r="K2" i="15"/>
  <c r="B16" i="15"/>
  <c r="D7" i="15"/>
  <c r="H6" i="15"/>
  <c r="D5" i="15"/>
  <c r="H4" i="15"/>
  <c r="D3" i="15"/>
  <c r="H2" i="15"/>
  <c r="B14" i="15"/>
  <c r="H7" i="15"/>
  <c r="D6" i="15"/>
  <c r="H5" i="15"/>
  <c r="D4" i="15"/>
  <c r="B15" i="15"/>
  <c r="K7" i="15"/>
  <c r="K5" i="15"/>
  <c r="K3" i="15"/>
  <c r="K10" i="15"/>
  <c r="D8" i="15"/>
  <c r="H3" i="15"/>
  <c r="D2" i="15"/>
  <c r="K9" i="14"/>
  <c r="K8" i="14"/>
  <c r="K6" i="14"/>
  <c r="K4" i="14"/>
  <c r="K2" i="14"/>
  <c r="B14" i="14"/>
  <c r="K10" i="14"/>
  <c r="H7" i="14"/>
  <c r="H3" i="14"/>
  <c r="D2" i="14"/>
  <c r="B16" i="14"/>
  <c r="D7" i="14"/>
  <c r="H6" i="14"/>
  <c r="D5" i="14"/>
  <c r="H4" i="14"/>
  <c r="D3" i="14"/>
  <c r="H2" i="14"/>
  <c r="B15" i="14"/>
  <c r="K7" i="14"/>
  <c r="K5" i="14"/>
  <c r="K3" i="14"/>
  <c r="D8" i="14"/>
  <c r="D6" i="14"/>
  <c r="H5" i="14"/>
  <c r="D4" i="14"/>
  <c r="K9" i="13"/>
  <c r="K8" i="13"/>
  <c r="K6" i="13"/>
  <c r="K4" i="13"/>
  <c r="K2" i="13"/>
  <c r="B14" i="13"/>
  <c r="H7" i="13"/>
  <c r="D6" i="13"/>
  <c r="B16" i="13"/>
  <c r="D7" i="13"/>
  <c r="H6" i="13"/>
  <c r="D5" i="13"/>
  <c r="H4" i="13"/>
  <c r="D3" i="13"/>
  <c r="H2" i="13"/>
  <c r="B15" i="13"/>
  <c r="K7" i="13"/>
  <c r="K5" i="13"/>
  <c r="K3" i="13"/>
  <c r="K10" i="13"/>
  <c r="D8" i="13"/>
  <c r="H5" i="13"/>
  <c r="D4" i="13"/>
  <c r="H3" i="13"/>
  <c r="D2" i="13"/>
  <c r="B16" i="12"/>
  <c r="D7" i="12"/>
  <c r="H6" i="12"/>
  <c r="D5" i="12"/>
  <c r="H4" i="12"/>
  <c r="D3" i="12"/>
  <c r="H2" i="12"/>
  <c r="K4" i="12"/>
  <c r="K2" i="12"/>
  <c r="B15" i="12"/>
  <c r="K7" i="12"/>
  <c r="K5" i="12"/>
  <c r="K3" i="12"/>
  <c r="B14" i="12"/>
  <c r="K10" i="12"/>
  <c r="D8" i="12"/>
  <c r="H7" i="12"/>
  <c r="D6" i="12"/>
  <c r="H5" i="12"/>
  <c r="D4" i="12"/>
  <c r="H3" i="12"/>
  <c r="D2" i="12"/>
  <c r="K9" i="12"/>
  <c r="K8" i="12"/>
  <c r="K6" i="12"/>
  <c r="K9" i="11"/>
  <c r="K8" i="11"/>
  <c r="K6" i="11"/>
  <c r="K4" i="11"/>
  <c r="K2" i="11"/>
  <c r="B16" i="11"/>
  <c r="D7" i="11"/>
  <c r="H6" i="11"/>
  <c r="D5" i="11"/>
  <c r="H4" i="11"/>
  <c r="D3" i="11"/>
  <c r="H2" i="11"/>
  <c r="H7" i="11"/>
  <c r="H3" i="11"/>
  <c r="D2" i="11"/>
  <c r="B15" i="11"/>
  <c r="K7" i="11"/>
  <c r="K5" i="11"/>
  <c r="K3" i="11"/>
  <c r="B14" i="11"/>
  <c r="K10" i="11"/>
  <c r="D8" i="11"/>
  <c r="D6" i="11"/>
  <c r="H5" i="11"/>
  <c r="D4" i="11"/>
  <c r="K9" i="10"/>
  <c r="K8" i="10"/>
  <c r="K6" i="10"/>
  <c r="K4" i="10"/>
  <c r="K2" i="10"/>
  <c r="B14" i="10"/>
  <c r="H5" i="10"/>
  <c r="D4" i="10"/>
  <c r="B16" i="10"/>
  <c r="D7" i="10"/>
  <c r="H6" i="10"/>
  <c r="D5" i="10"/>
  <c r="H4" i="10"/>
  <c r="D3" i="10"/>
  <c r="H2" i="10"/>
  <c r="B15" i="10"/>
  <c r="K7" i="10"/>
  <c r="K5" i="10"/>
  <c r="K3" i="10"/>
  <c r="K10" i="10"/>
  <c r="D8" i="10"/>
  <c r="H7" i="10"/>
  <c r="D6" i="10"/>
  <c r="H3" i="10"/>
  <c r="D2" i="10"/>
  <c r="K9" i="9"/>
  <c r="K8" i="9"/>
  <c r="K6" i="9"/>
  <c r="K4" i="9"/>
  <c r="K2" i="9"/>
  <c r="B14" i="9"/>
  <c r="K10" i="9"/>
  <c r="D8" i="9"/>
  <c r="H7" i="9"/>
  <c r="H5" i="9"/>
  <c r="D4" i="9"/>
  <c r="H3" i="9"/>
  <c r="D2" i="9"/>
  <c r="B16" i="9"/>
  <c r="D7" i="9"/>
  <c r="H6" i="9"/>
  <c r="D5" i="9"/>
  <c r="H4" i="9"/>
  <c r="D3" i="9"/>
  <c r="H2" i="9"/>
  <c r="B15" i="9"/>
  <c r="K7" i="9"/>
  <c r="K5" i="9"/>
  <c r="K3" i="9"/>
  <c r="D6" i="9"/>
  <c r="K9" i="8"/>
  <c r="K8" i="8"/>
  <c r="K6" i="8"/>
  <c r="K4" i="8"/>
  <c r="K2" i="8"/>
  <c r="H7" i="8"/>
  <c r="H5" i="8"/>
  <c r="H3" i="8"/>
  <c r="B16" i="8"/>
  <c r="D7" i="8"/>
  <c r="H6" i="8"/>
  <c r="D5" i="8"/>
  <c r="H4" i="8"/>
  <c r="D3" i="8"/>
  <c r="H2" i="8"/>
  <c r="B15" i="8"/>
  <c r="K7" i="8"/>
  <c r="K5" i="8"/>
  <c r="K3" i="8"/>
  <c r="D8" i="8"/>
  <c r="D6" i="8"/>
  <c r="D4" i="8"/>
  <c r="D2" i="8"/>
  <c r="B14" i="8"/>
  <c r="K10" i="8"/>
  <c r="K9" i="7"/>
  <c r="K8" i="7"/>
  <c r="K6" i="7"/>
  <c r="K4" i="7"/>
  <c r="K2" i="7"/>
  <c r="B16" i="7"/>
  <c r="D7" i="7"/>
  <c r="H6" i="7"/>
  <c r="D5" i="7"/>
  <c r="H4" i="7"/>
  <c r="D3" i="7"/>
  <c r="H2" i="7"/>
  <c r="B15" i="7"/>
  <c r="K7" i="7"/>
  <c r="K5" i="7"/>
  <c r="K3" i="7"/>
  <c r="B14" i="7"/>
  <c r="K10" i="7"/>
  <c r="D8" i="7"/>
  <c r="H7" i="7"/>
  <c r="D6" i="7"/>
  <c r="H5" i="7"/>
  <c r="D4" i="7"/>
  <c r="H3" i="7"/>
  <c r="D2" i="7"/>
  <c r="K9" i="6"/>
  <c r="K8" i="6"/>
  <c r="K6" i="6"/>
  <c r="K4" i="6"/>
  <c r="K2" i="6"/>
  <c r="K7" i="6"/>
  <c r="K5" i="6"/>
  <c r="B14" i="6"/>
  <c r="D4" i="6"/>
  <c r="D2" i="6"/>
  <c r="B16" i="6"/>
  <c r="D7" i="6"/>
  <c r="H6" i="6"/>
  <c r="D5" i="6"/>
  <c r="H4" i="6"/>
  <c r="D3" i="6"/>
  <c r="H2" i="6"/>
  <c r="K3" i="6"/>
  <c r="B15" i="6"/>
  <c r="K10" i="6"/>
  <c r="D8" i="6"/>
  <c r="H7" i="6"/>
  <c r="D6" i="6"/>
  <c r="H5" i="6"/>
  <c r="H3" i="6"/>
  <c r="K9" i="5"/>
  <c r="K8" i="5"/>
  <c r="K7" i="5"/>
  <c r="K6" i="5"/>
  <c r="K5" i="5"/>
  <c r="K4" i="5"/>
  <c r="K3" i="5"/>
  <c r="K2" i="5"/>
  <c r="B16" i="5"/>
  <c r="H7" i="5"/>
  <c r="H6" i="5"/>
  <c r="H5" i="5"/>
  <c r="H4" i="5"/>
  <c r="H3" i="5"/>
  <c r="H2" i="5"/>
  <c r="B14" i="5"/>
  <c r="K10" i="5"/>
  <c r="D4" i="5"/>
  <c r="D2" i="5"/>
  <c r="B15" i="5"/>
  <c r="D8" i="5"/>
  <c r="D7" i="5"/>
  <c r="D6" i="5"/>
  <c r="D5" i="5"/>
  <c r="D3" i="5"/>
  <c r="B16" i="4"/>
  <c r="B15" i="4"/>
  <c r="B14" i="4"/>
  <c r="K10" i="4"/>
  <c r="K6" i="4"/>
  <c r="K9" i="4"/>
  <c r="K5" i="4"/>
  <c r="K8" i="4"/>
  <c r="K4" i="4"/>
  <c r="K7" i="4"/>
  <c r="K3" i="4"/>
  <c r="K2" i="4"/>
  <c r="H2" i="4"/>
  <c r="H4" i="4"/>
  <c r="H7" i="4"/>
  <c r="H3" i="4"/>
  <c r="H5" i="4"/>
  <c r="H6" i="4"/>
  <c r="D5" i="4"/>
  <c r="E5" i="4" s="1"/>
  <c r="D6" i="4"/>
  <c r="E6" i="4" s="1"/>
  <c r="D2" i="4"/>
  <c r="E2" i="4" s="1"/>
  <c r="D8" i="4"/>
  <c r="E8" i="4" s="1"/>
  <c r="D4" i="4"/>
  <c r="E4" i="4" s="1"/>
  <c r="D7" i="4"/>
  <c r="E7" i="4" s="1"/>
  <c r="C5" i="5" a="1"/>
  <c r="C7" i="5" a="1"/>
  <c r="C3" i="5" a="1"/>
  <c r="C6" i="5" a="1"/>
  <c r="C2" i="5" a="1"/>
  <c r="C8" i="5" a="1"/>
  <c r="C4" i="5" a="1"/>
  <c r="L11" i="18" l="1"/>
  <c r="E18" i="18"/>
  <c r="F18" i="18"/>
  <c r="O6" i="18"/>
  <c r="I18" i="18"/>
  <c r="J11" i="18"/>
  <c r="H18" i="18"/>
  <c r="J18" i="18"/>
  <c r="J21" i="18" s="1"/>
  <c r="O8" i="18"/>
  <c r="O9" i="16"/>
  <c r="H11" i="18"/>
  <c r="O14" i="16"/>
  <c r="O17" i="16"/>
  <c r="C18" i="16"/>
  <c r="G11" i="18"/>
  <c r="K11" i="18"/>
  <c r="O10" i="18"/>
  <c r="J18" i="16"/>
  <c r="O15" i="16"/>
  <c r="M18" i="16"/>
  <c r="L18" i="18"/>
  <c r="D18" i="16"/>
  <c r="H18" i="16"/>
  <c r="E11" i="18"/>
  <c r="E21" i="18" s="1"/>
  <c r="N11" i="18"/>
  <c r="N21" i="18" s="1"/>
  <c r="E18" i="16"/>
  <c r="I11" i="18"/>
  <c r="O13" i="18"/>
  <c r="O4" i="18"/>
  <c r="N18" i="16"/>
  <c r="F18" i="16"/>
  <c r="M11" i="18"/>
  <c r="K18" i="18"/>
  <c r="O6" i="16"/>
  <c r="O16" i="16"/>
  <c r="O5" i="18"/>
  <c r="O12" i="18"/>
  <c r="O17" i="18"/>
  <c r="O7" i="18"/>
  <c r="O14" i="18"/>
  <c r="C18" i="18"/>
  <c r="O7" i="16"/>
  <c r="K18" i="16"/>
  <c r="O2" i="16"/>
  <c r="O3" i="18"/>
  <c r="D11" i="18"/>
  <c r="M18" i="18"/>
  <c r="I18" i="16"/>
  <c r="O10" i="16"/>
  <c r="L18" i="16"/>
  <c r="O11" i="16"/>
  <c r="O3" i="16"/>
  <c r="O8" i="16"/>
  <c r="O13" i="16"/>
  <c r="C11" i="18"/>
  <c r="C3" i="5"/>
  <c r="E3" i="5" s="1"/>
  <c r="G18" i="16"/>
  <c r="O16" i="18"/>
  <c r="O4" i="16"/>
  <c r="D18" i="18"/>
  <c r="G18" i="18"/>
  <c r="O9" i="18"/>
  <c r="O12" i="16"/>
  <c r="O15" i="18"/>
  <c r="O2" i="18"/>
  <c r="O5" i="16"/>
  <c r="O19" i="18"/>
  <c r="O20" i="18" s="1"/>
  <c r="F11" i="18"/>
  <c r="D9" i="15"/>
  <c r="H8" i="15"/>
  <c r="B17" i="15"/>
  <c r="K11" i="15"/>
  <c r="H8" i="14"/>
  <c r="B17" i="14"/>
  <c r="D9" i="14"/>
  <c r="K11" i="14"/>
  <c r="B17" i="12"/>
  <c r="H8" i="13"/>
  <c r="D9" i="13"/>
  <c r="B17" i="13"/>
  <c r="K11" i="13"/>
  <c r="B17" i="11"/>
  <c r="H8" i="12"/>
  <c r="D9" i="12"/>
  <c r="K11" i="12"/>
  <c r="D9" i="11"/>
  <c r="H8" i="11"/>
  <c r="K11" i="11"/>
  <c r="H8" i="9"/>
  <c r="D9" i="10"/>
  <c r="H8" i="10"/>
  <c r="B17" i="10"/>
  <c r="K11" i="10"/>
  <c r="D9" i="9"/>
  <c r="B17" i="9"/>
  <c r="K11" i="9"/>
  <c r="B17" i="7"/>
  <c r="B17" i="8"/>
  <c r="H8" i="8"/>
  <c r="D9" i="8"/>
  <c r="K11" i="8"/>
  <c r="B17" i="6"/>
  <c r="D9" i="7"/>
  <c r="H8" i="7"/>
  <c r="K11" i="7"/>
  <c r="D9" i="6"/>
  <c r="H8" i="6"/>
  <c r="K11" i="6"/>
  <c r="C6" i="5"/>
  <c r="E6" i="5" s="1"/>
  <c r="C4" i="5"/>
  <c r="E4" i="5" s="1"/>
  <c r="C5" i="5"/>
  <c r="E5" i="5" s="1"/>
  <c r="C8" i="5"/>
  <c r="E8" i="5" s="1"/>
  <c r="C7" i="5"/>
  <c r="E7" i="5" s="1"/>
  <c r="K11" i="5"/>
  <c r="C2" i="5"/>
  <c r="E2" i="5" s="1"/>
  <c r="B17" i="4"/>
  <c r="B17" i="5"/>
  <c r="D9" i="5"/>
  <c r="H8" i="5"/>
  <c r="K11" i="4"/>
  <c r="H8" i="4"/>
  <c r="E9" i="4"/>
  <c r="D9" i="4"/>
  <c r="C4" i="6" a="1"/>
  <c r="C5" i="6" a="1"/>
  <c r="C2" i="6" a="1"/>
  <c r="C6" i="6" a="1"/>
  <c r="C8" i="6" a="1"/>
  <c r="C3" i="6" a="1"/>
  <c r="C7" i="6" a="1"/>
  <c r="L21" i="18" l="1"/>
  <c r="K21" i="18"/>
  <c r="H21" i="18"/>
  <c r="I21" i="18"/>
  <c r="M21" i="18"/>
  <c r="D21" i="18"/>
  <c r="C21" i="18"/>
  <c r="G21" i="18"/>
  <c r="O18" i="16"/>
  <c r="O11" i="18"/>
  <c r="O18" i="18"/>
  <c r="F21" i="18"/>
  <c r="C3" i="6"/>
  <c r="E3" i="6" s="1"/>
  <c r="C4" i="6"/>
  <c r="E4" i="6" s="1"/>
  <c r="C2" i="6"/>
  <c r="E2" i="6" s="1"/>
  <c r="C7" i="6"/>
  <c r="E7" i="6" s="1"/>
  <c r="C6" i="6"/>
  <c r="E6" i="6" s="1"/>
  <c r="C8" i="6"/>
  <c r="E8" i="6" s="1"/>
  <c r="C5" i="6"/>
  <c r="E5" i="6" s="1"/>
  <c r="C9" i="5"/>
  <c r="E9" i="5"/>
  <c r="C6" i="7" a="1"/>
  <c r="C8" i="7" a="1"/>
  <c r="C2" i="7" a="1"/>
  <c r="C7" i="7" a="1"/>
  <c r="C4" i="7" a="1"/>
  <c r="C3" i="7" a="1"/>
  <c r="C5" i="7" a="1"/>
  <c r="O21" i="18" l="1"/>
  <c r="C3" i="7"/>
  <c r="E3" i="7" s="1"/>
  <c r="C8" i="7"/>
  <c r="E8" i="7" s="1"/>
  <c r="C4" i="7"/>
  <c r="E4" i="7" s="1"/>
  <c r="C6" i="7"/>
  <c r="E6" i="7" s="1"/>
  <c r="C7" i="7"/>
  <c r="E7" i="7" s="1"/>
  <c r="C5" i="7"/>
  <c r="E5" i="7" s="1"/>
  <c r="C2" i="7"/>
  <c r="E9" i="6"/>
  <c r="C9" i="6"/>
  <c r="C8" i="8" a="1"/>
  <c r="C3" i="8" a="1"/>
  <c r="C4" i="8" a="1"/>
  <c r="C5" i="8" a="1"/>
  <c r="C6" i="8" a="1"/>
  <c r="C7" i="8" a="1"/>
  <c r="C4" i="8" l="1"/>
  <c r="E4" i="8" s="1"/>
  <c r="C8" i="8"/>
  <c r="E8" i="8" s="1"/>
  <c r="C6" i="8"/>
  <c r="E6" i="8" s="1"/>
  <c r="C5" i="8"/>
  <c r="E5" i="8" s="1"/>
  <c r="C7" i="8"/>
  <c r="E7" i="8" s="1"/>
  <c r="C3" i="8"/>
  <c r="E3" i="8" s="1"/>
  <c r="E2" i="7"/>
  <c r="C9" i="7"/>
  <c r="C8" i="9" a="1"/>
  <c r="C7" i="9" a="1"/>
  <c r="C3" i="9" a="1"/>
  <c r="C6" i="9" a="1"/>
  <c r="C2" i="8" a="1"/>
  <c r="C4" i="9" a="1"/>
  <c r="C5" i="9" a="1"/>
  <c r="C3" i="9" l="1"/>
  <c r="E3" i="9" s="1"/>
  <c r="C5" i="9"/>
  <c r="E5" i="9" s="1"/>
  <c r="C6" i="9"/>
  <c r="E6" i="9" s="1"/>
  <c r="C8" i="9"/>
  <c r="E8" i="9" s="1"/>
  <c r="C7" i="9"/>
  <c r="E7" i="9" s="1"/>
  <c r="C4" i="9"/>
  <c r="E4" i="9" s="1"/>
  <c r="C2" i="8"/>
  <c r="E9" i="7"/>
  <c r="C3" i="10" a="1"/>
  <c r="C7" i="10" a="1"/>
  <c r="C4" i="10" a="1"/>
  <c r="C6" i="10" a="1"/>
  <c r="C5" i="10" a="1"/>
  <c r="C8" i="10" a="1"/>
  <c r="C6" i="10" l="1"/>
  <c r="E6" i="10" s="1"/>
  <c r="C4" i="10"/>
  <c r="E4" i="10" s="1"/>
  <c r="C8" i="10"/>
  <c r="E8" i="10" s="1"/>
  <c r="C5" i="10"/>
  <c r="E5" i="10" s="1"/>
  <c r="C7" i="10"/>
  <c r="E7" i="10" s="1"/>
  <c r="C3" i="10"/>
  <c r="E3" i="10" s="1"/>
  <c r="C9" i="8"/>
  <c r="E2" i="8"/>
  <c r="C7" i="11" a="1"/>
  <c r="C3" i="11" a="1"/>
  <c r="C6" i="11" a="1"/>
  <c r="C5" i="11" a="1"/>
  <c r="C2" i="9" a="1"/>
  <c r="C4" i="11" a="1"/>
  <c r="C8" i="11" a="1"/>
  <c r="C5" i="11" l="1"/>
  <c r="E5" i="11" s="1"/>
  <c r="C8" i="11"/>
  <c r="E8" i="11" s="1"/>
  <c r="C3" i="11"/>
  <c r="E3" i="11" s="1"/>
  <c r="C4" i="11"/>
  <c r="E4" i="11" s="1"/>
  <c r="C7" i="11"/>
  <c r="E7" i="11" s="1"/>
  <c r="C6" i="11"/>
  <c r="E6" i="11" s="1"/>
  <c r="C2" i="9"/>
  <c r="E9" i="8"/>
  <c r="C8" i="12" a="1"/>
  <c r="C5" i="12" a="1"/>
  <c r="C3" i="12" a="1"/>
  <c r="C7" i="12" a="1"/>
  <c r="C4" i="12" a="1"/>
  <c r="C6" i="12" a="1"/>
  <c r="C7" i="12" l="1"/>
  <c r="E7" i="12" s="1"/>
  <c r="C5" i="12"/>
  <c r="E5" i="12" s="1"/>
  <c r="C4" i="12"/>
  <c r="E4" i="12" s="1"/>
  <c r="C3" i="12"/>
  <c r="E3" i="12" s="1"/>
  <c r="C6" i="12"/>
  <c r="E6" i="12" s="1"/>
  <c r="C8" i="12"/>
  <c r="E8" i="12" s="1"/>
  <c r="C9" i="9"/>
  <c r="E2" i="9"/>
  <c r="C5" i="13" a="1"/>
  <c r="C3" i="13" a="1"/>
  <c r="C8" i="13" a="1"/>
  <c r="C4" i="13" a="1"/>
  <c r="C2" i="10" a="1"/>
  <c r="C7" i="13" a="1"/>
  <c r="C6" i="13" a="1"/>
  <c r="C7" i="13" l="1"/>
  <c r="E7" i="13" s="1"/>
  <c r="C4" i="13"/>
  <c r="E4" i="13" s="1"/>
  <c r="C6" i="13"/>
  <c r="E6" i="13" s="1"/>
  <c r="C3" i="13"/>
  <c r="E3" i="13" s="1"/>
  <c r="C8" i="13"/>
  <c r="E8" i="13" s="1"/>
  <c r="C5" i="13"/>
  <c r="E5" i="13" s="1"/>
  <c r="C2" i="10"/>
  <c r="E9" i="9"/>
  <c r="C6" i="14" a="1"/>
  <c r="C8" i="14" a="1"/>
  <c r="C7" i="14" a="1"/>
  <c r="C5" i="14" a="1"/>
  <c r="C4" i="14" a="1"/>
  <c r="C3" i="14" a="1"/>
  <c r="C5" i="14" l="1"/>
  <c r="E5" i="14" s="1"/>
  <c r="C4" i="14"/>
  <c r="E4" i="14" s="1"/>
  <c r="C8" i="14"/>
  <c r="E8" i="14" s="1"/>
  <c r="C7" i="14"/>
  <c r="E7" i="14" s="1"/>
  <c r="C3" i="14"/>
  <c r="E3" i="14" s="1"/>
  <c r="C6" i="14"/>
  <c r="E6" i="14" s="1"/>
  <c r="E2" i="10"/>
  <c r="C9" i="10"/>
  <c r="C5" i="15" a="1"/>
  <c r="C8" i="15" a="1"/>
  <c r="C4" i="15" a="1"/>
  <c r="C7" i="15" a="1"/>
  <c r="C3" i="15" a="1"/>
  <c r="C2" i="11" a="1"/>
  <c r="C6" i="15" a="1"/>
  <c r="C7" i="15" l="1"/>
  <c r="E7" i="15" s="1"/>
  <c r="C8" i="15"/>
  <c r="E8" i="15" s="1"/>
  <c r="C6" i="15"/>
  <c r="E6" i="15" s="1"/>
  <c r="C4" i="15"/>
  <c r="E4" i="15" s="1"/>
  <c r="C3" i="15"/>
  <c r="E3" i="15" s="1"/>
  <c r="C5" i="15"/>
  <c r="E5" i="15" s="1"/>
  <c r="C2" i="11"/>
  <c r="E9" i="10"/>
  <c r="E2" i="11" l="1"/>
  <c r="C9" i="11"/>
  <c r="C2" i="12" a="1"/>
  <c r="C2" i="12" l="1"/>
  <c r="E9" i="11"/>
  <c r="E2" i="12" l="1"/>
  <c r="C9" i="12"/>
  <c r="C2" i="13" a="1"/>
  <c r="C2" i="13" l="1"/>
  <c r="E9" i="12"/>
  <c r="C9" i="13" l="1"/>
  <c r="E2" i="13"/>
  <c r="C2" i="14" a="1"/>
  <c r="C2" i="14" l="1"/>
  <c r="E9" i="13"/>
  <c r="C9" i="14" l="1"/>
  <c r="E2" i="14"/>
  <c r="C2" i="15" a="1"/>
  <c r="C2" i="15" l="1"/>
  <c r="E9" i="14"/>
  <c r="C9" i="15" l="1"/>
  <c r="E2" i="15"/>
  <c r="E9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<sst xmlns="http://schemas.openxmlformats.org/spreadsheetml/2006/main" count="1386" uniqueCount="60">
  <si>
    <t>Amount</t>
  </si>
  <si>
    <t>Bank</t>
  </si>
  <si>
    <t>Product</t>
  </si>
  <si>
    <t>Category</t>
  </si>
  <si>
    <t>Type</t>
  </si>
  <si>
    <t>Date</t>
  </si>
  <si>
    <t>Month</t>
  </si>
  <si>
    <t>Santander</t>
  </si>
  <si>
    <t>Account</t>
  </si>
  <si>
    <t>Groceries</t>
  </si>
  <si>
    <t>Salary</t>
  </si>
  <si>
    <t>Accomodation</t>
  </si>
  <si>
    <t>Millennium</t>
  </si>
  <si>
    <t>Credit card</t>
  </si>
  <si>
    <t>Multimedia</t>
  </si>
  <si>
    <t>Other incoms</t>
  </si>
  <si>
    <t>Fixed-term deposit</t>
  </si>
  <si>
    <t>Other expences</t>
  </si>
  <si>
    <t>Savings account</t>
  </si>
  <si>
    <t>Allowance</t>
  </si>
  <si>
    <t>Entertainment</t>
  </si>
  <si>
    <t>Transportation</t>
  </si>
  <si>
    <t>Clothing</t>
  </si>
  <si>
    <t>Studies</t>
  </si>
  <si>
    <t>Wallet</t>
  </si>
  <si>
    <t>Gift card</t>
  </si>
  <si>
    <t>Money</t>
  </si>
  <si>
    <t>Financial</t>
  </si>
  <si>
    <t>Health&amp;Beauty</t>
  </si>
  <si>
    <t>Transfer</t>
  </si>
  <si>
    <t>Gift</t>
  </si>
  <si>
    <t>Scholarship</t>
  </si>
  <si>
    <t>expense</t>
  </si>
  <si>
    <t>Income</t>
  </si>
  <si>
    <t>transfer</t>
  </si>
  <si>
    <t>Opening Balance</t>
  </si>
  <si>
    <t>Operations</t>
  </si>
  <si>
    <t>Closing Balance</t>
  </si>
  <si>
    <t>Total</t>
  </si>
  <si>
    <t>Expense</t>
  </si>
  <si>
    <t>Suma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</si>
  <si>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</si>
  <si>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</si>
  <si>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</si>
  <si>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</si>
  <si>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</si>
  <si>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</si>
  <si>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</si>
  <si>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</si>
  <si>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</si>
  <si>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</si>
  <si>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</si>
  <si>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</si>
  <si>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expense Suma</t>
  </si>
  <si>
    <t>Income Suma</t>
  </si>
  <si>
    <t>Transfer Suma</t>
  </si>
  <si>
    <t>Suma końcowa</t>
  </si>
  <si>
    <t>Suma z Amount</t>
  </si>
  <si>
    <t>Etykiety wierszy</t>
  </si>
  <si>
    <t>Etykiety kolumn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</si>
</sst>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\ &quot;zł&quot;;[Red]\-#,##0.00\ &quot;zł&quot;"/>
    <numFmt numFmtId="165" formatCode="_-* #,##0.00\ [$zł-415]_-;\-* #,##0.00\ [$zł-415]_-;_-* &quot;-&quot;??\ [$zł-415]_-;_-@_-"/>
  </numFmts>
  <fonts count="7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name val="Aptos Narrow"/>
      <family val="2"/>
    </font>
    <font>
      <b/>
      <sz val="1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theme="7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0" borderId="1" xfId="0" applyBorder="1"/>
    <xf numFmtId="165" fontId="0" fillId="0" borderId="0" xfId="0" applyNumberFormat="1"/>
    <xf numFmtId="165" fontId="0" fillId="0" borderId="0" xfId="1" applyNumberFormat="1" applyFont="1"/>
    <xf numFmtId="0" fontId="0" fillId="4" borderId="2" xfId="0" applyFill="1" applyBorder="1"/>
    <xf numFmtId="165" fontId="0" fillId="0" borderId="2" xfId="0" applyNumberFormat="1" applyBorder="1"/>
    <xf numFmtId="0" fontId="1" fillId="3" borderId="0" xfId="0" applyFont="1" applyFill="1"/>
    <xf numFmtId="0" fontId="0" fillId="3" borderId="0" xfId="0" applyFill="1"/>
    <xf numFmtId="0" fontId="3" fillId="3" borderId="0" xfId="0" applyFont="1" applyFill="1"/>
    <xf numFmtId="0" fontId="4" fillId="0" borderId="0" xfId="0" applyFont="1"/>
    <xf numFmtId="0" fontId="4" fillId="0" borderId="3" xfId="0" applyFont="1" applyBorder="1"/>
    <xf numFmtId="0" fontId="5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6" fillId="0" borderId="7" xfId="0" applyFont="1" applyBorder="1"/>
    <xf numFmtId="0" fontId="4" fillId="0" borderId="10" xfId="0" applyFont="1" applyBorder="1"/>
    <xf numFmtId="0" fontId="3" fillId="5" borderId="9" xfId="0" applyFont="1" applyFill="1" applyBorder="1"/>
    <xf numFmtId="0" fontId="0" fillId="3" borderId="10" xfId="0" applyFill="1" applyBorder="1"/>
    <xf numFmtId="0" fontId="1" fillId="5" borderId="5" xfId="0" applyFont="1" applyFill="1" applyBorder="1"/>
    <xf numFmtId="0" fontId="1" fillId="3" borderId="4" xfId="0" applyFont="1" applyFill="1" applyBorder="1"/>
    <xf numFmtId="0" fontId="5" fillId="0" borderId="3" xfId="0" applyFont="1" applyBorder="1"/>
    <xf numFmtId="0" fontId="5" fillId="0" borderId="4" xfId="0" applyFont="1" applyBorder="1"/>
    <xf numFmtId="0" fontId="5" fillId="0" borderId="1" xfId="0" applyFont="1" applyBorder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5" borderId="0" xfId="0" applyFont="1" applyFill="1"/>
    <xf numFmtId="0" fontId="0" fillId="5" borderId="0" xfId="0" applyFill="1"/>
  </cellXfs>
  <cellStyles count="2">
    <cellStyle name="Currency" xfId="1" builtinId="4"/>
    <cellStyle name="Normal" xfId="0" builtinId="0"/>
  </cellStyles>
  <dxfs count="341"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lip" refreshedDate="45995.607935416665" createdVersion="8" refreshedVersion="8" minRefreshableVersion="3" recordCount="207" xr:uid="{A711F475-1074-4145-90B6-C19E8AD004CA}">
  <cacheSource type="worksheet">
    <worksheetSource name="operations"/>
  </cacheSource>
  <cacheFields count="7">
    <cacheField name="Amount" numFmtId="164">
      <sharedItems containsSemiMixedTypes="0" containsString="0" containsNumber="1" minValue="-2000" maxValue="4500"/>
    </cacheField>
    <cacheField name="Bank" numFmtId="0">
      <sharedItems/>
    </cacheField>
    <cacheField name="Product" numFmtId="0">
      <sharedItems/>
    </cacheField>
    <cacheField name="Category" numFmtId="0">
      <sharedItems count="16">
        <s v="Groceries"/>
        <s v="Salary"/>
        <s v="Accomodation"/>
        <s v="Multimedia"/>
        <s v="Other incoms"/>
        <s v="Other expences"/>
        <s v="Allowance"/>
        <s v="Entertainment"/>
        <s v="Transportation"/>
        <s v="Clothing"/>
        <s v="Studies"/>
        <s v="Financial"/>
        <s v="Health&amp;Beauty"/>
        <s v="Transfer"/>
        <s v="Gift"/>
        <s v="Scholarship"/>
      </sharedItems>
    </cacheField>
    <cacheField name="Type" numFmtId="0">
      <sharedItems count="3">
        <s v="expense"/>
        <s v="Income"/>
        <s v="transfer"/>
      </sharedItems>
    </cacheField>
    <cacheField name="Date" numFmtId="0">
      <sharedItems containsSemiMixedTypes="0" containsNonDate="0" containsDate="1" containsString="0" minDate="2024-01-05T00:00:00" maxDate="2024-12-31T00:00:00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n v="-1500"/>
    <s v="Santander"/>
    <s v="Account"/>
    <x v="0"/>
    <x v="0"/>
    <d v="2024-01-05T00:00:00"/>
    <x v="0"/>
  </r>
  <r>
    <n v="4500"/>
    <s v="Santander"/>
    <s v="Account"/>
    <x v="1"/>
    <x v="1"/>
    <d v="2024-01-10T00:00:00"/>
    <x v="0"/>
  </r>
  <r>
    <n v="-2000"/>
    <s v="Santander"/>
    <s v="Account"/>
    <x v="2"/>
    <x v="0"/>
    <d v="2024-01-11T00:00:00"/>
    <x v="0"/>
  </r>
  <r>
    <n v="-45"/>
    <s v="Millennium"/>
    <s v="Account"/>
    <x v="0"/>
    <x v="0"/>
    <d v="2024-01-14T00:00:00"/>
    <x v="0"/>
  </r>
  <r>
    <n v="-150"/>
    <s v="Santander"/>
    <s v="Credit card"/>
    <x v="3"/>
    <x v="0"/>
    <d v="2024-01-15T00:00:00"/>
    <x v="0"/>
  </r>
  <r>
    <n v="-120"/>
    <s v="Santander"/>
    <s v="Account"/>
    <x v="0"/>
    <x v="0"/>
    <d v="2024-01-16T00:00:00"/>
    <x v="0"/>
  </r>
  <r>
    <n v="500"/>
    <s v="Santander"/>
    <s v="Account"/>
    <x v="4"/>
    <x v="1"/>
    <d v="2024-01-17T00:00:00"/>
    <x v="0"/>
  </r>
  <r>
    <n v="-500"/>
    <s v="Santander"/>
    <s v="Fixed-term deposit"/>
    <x v="5"/>
    <x v="0"/>
    <d v="2024-01-17T00:00:00"/>
    <x v="0"/>
  </r>
  <r>
    <n v="250"/>
    <s v="Millennium"/>
    <s v="Savings account"/>
    <x v="6"/>
    <x v="1"/>
    <d v="2024-01-17T00:00:00"/>
    <x v="0"/>
  </r>
  <r>
    <n v="-25"/>
    <s v="Santander"/>
    <s v="Credit card"/>
    <x v="7"/>
    <x v="0"/>
    <d v="2024-01-19T00:00:00"/>
    <x v="0"/>
  </r>
  <r>
    <n v="-80"/>
    <s v="Santander"/>
    <s v="Account"/>
    <x v="8"/>
    <x v="0"/>
    <d v="2024-01-20T00:00:00"/>
    <x v="0"/>
  </r>
  <r>
    <n v="150"/>
    <s v="Millennium"/>
    <s v="Account"/>
    <x v="4"/>
    <x v="1"/>
    <d v="2024-01-21T00:00:00"/>
    <x v="0"/>
  </r>
  <r>
    <n v="-80"/>
    <s v="Millennium"/>
    <s v="Account"/>
    <x v="9"/>
    <x v="0"/>
    <d v="2024-01-22T00:00:00"/>
    <x v="0"/>
  </r>
  <r>
    <n v="-60"/>
    <s v="Millennium"/>
    <s v="Account"/>
    <x v="7"/>
    <x v="0"/>
    <d v="2024-01-23T00:00:00"/>
    <x v="0"/>
  </r>
  <r>
    <n v="-100"/>
    <s v="Santander"/>
    <s v="Account"/>
    <x v="10"/>
    <x v="0"/>
    <d v="2024-01-24T00:00:00"/>
    <x v="0"/>
  </r>
  <r>
    <n v="-50"/>
    <s v="Wallet"/>
    <s v="Gift card"/>
    <x v="0"/>
    <x v="0"/>
    <d v="2024-01-25T00:00:00"/>
    <x v="0"/>
  </r>
  <r>
    <n v="150"/>
    <s v="Wallet"/>
    <s v="Money"/>
    <x v="4"/>
    <x v="1"/>
    <d v="2024-01-25T00:00:00"/>
    <x v="0"/>
  </r>
  <r>
    <n v="5.5"/>
    <s v="Millennium"/>
    <s v="Savings account"/>
    <x v="11"/>
    <x v="1"/>
    <d v="2024-01-26T00:00:00"/>
    <x v="0"/>
  </r>
  <r>
    <n v="100"/>
    <s v="Santander"/>
    <s v="Fixed-term deposit"/>
    <x v="11"/>
    <x v="1"/>
    <d v="2024-01-27T00:00:00"/>
    <x v="0"/>
  </r>
  <r>
    <n v="-100"/>
    <s v="Santander"/>
    <s v="Account"/>
    <x v="12"/>
    <x v="0"/>
    <d v="2024-01-28T00:00:00"/>
    <x v="0"/>
  </r>
  <r>
    <n v="200"/>
    <s v="Millennium"/>
    <s v="Account"/>
    <x v="4"/>
    <x v="1"/>
    <d v="2024-02-02T00:00:00"/>
    <x v="1"/>
  </r>
  <r>
    <n v="-15"/>
    <s v="Millennium"/>
    <s v="Account"/>
    <x v="5"/>
    <x v="0"/>
    <d v="2024-02-04T00:00:00"/>
    <x v="1"/>
  </r>
  <r>
    <n v="-5.5"/>
    <s v="Santander"/>
    <s v="Account"/>
    <x v="0"/>
    <x v="0"/>
    <d v="2024-02-06T00:00:00"/>
    <x v="1"/>
  </r>
  <r>
    <n v="4500"/>
    <s v="Santander"/>
    <s v="Account"/>
    <x v="1"/>
    <x v="1"/>
    <d v="2024-02-10T00:00:00"/>
    <x v="1"/>
  </r>
  <r>
    <n v="-2000"/>
    <s v="Santander"/>
    <s v="Account"/>
    <x v="2"/>
    <x v="0"/>
    <d v="2024-02-11T00:00:00"/>
    <x v="1"/>
  </r>
  <r>
    <n v="-150"/>
    <s v="Santander"/>
    <s v="Account"/>
    <x v="7"/>
    <x v="0"/>
    <d v="2024-02-13T00:00:00"/>
    <x v="1"/>
  </r>
  <r>
    <n v="500"/>
    <s v="Santander"/>
    <s v="Account"/>
    <x v="4"/>
    <x v="1"/>
    <d v="2024-02-14T00:00:00"/>
    <x v="1"/>
  </r>
  <r>
    <n v="-300"/>
    <s v="Santander"/>
    <s v="Account"/>
    <x v="0"/>
    <x v="0"/>
    <d v="2024-02-14T00:00:00"/>
    <x v="1"/>
  </r>
  <r>
    <n v="-500"/>
    <s v="Santander"/>
    <s v="Fixed-term deposit"/>
    <x v="5"/>
    <x v="0"/>
    <d v="2024-02-14T00:00:00"/>
    <x v="1"/>
  </r>
  <r>
    <n v="-200"/>
    <s v="Wallet"/>
    <s v="Money"/>
    <x v="5"/>
    <x v="0"/>
    <d v="2024-02-14T00:00:00"/>
    <x v="1"/>
  </r>
  <r>
    <n v="175"/>
    <s v="Santander"/>
    <s v="Credit card"/>
    <x v="13"/>
    <x v="2"/>
    <d v="2024-02-15T00:00:00"/>
    <x v="1"/>
  </r>
  <r>
    <n v="-175"/>
    <s v="Santander"/>
    <s v="Account"/>
    <x v="13"/>
    <x v="2"/>
    <d v="2024-02-15T00:00:00"/>
    <x v="1"/>
  </r>
  <r>
    <n v="-100"/>
    <s v="Santander"/>
    <s v="Account"/>
    <x v="10"/>
    <x v="0"/>
    <d v="2024-02-17T00:00:00"/>
    <x v="1"/>
  </r>
  <r>
    <n v="-80"/>
    <s v="Santander"/>
    <s v="Account"/>
    <x v="8"/>
    <x v="0"/>
    <d v="2024-02-20T00:00:00"/>
    <x v="1"/>
  </r>
  <r>
    <n v="150"/>
    <s v="Wallet"/>
    <s v="Money"/>
    <x v="4"/>
    <x v="1"/>
    <d v="2024-02-22T00:00:00"/>
    <x v="1"/>
  </r>
  <r>
    <n v="100"/>
    <s v="Wallet"/>
    <s v="Gift card"/>
    <x v="4"/>
    <x v="1"/>
    <d v="2024-02-23T00:00:00"/>
    <x v="1"/>
  </r>
  <r>
    <n v="-200"/>
    <s v="Wallet"/>
    <s v="Money"/>
    <x v="7"/>
    <x v="0"/>
    <d v="2024-02-24T00:00:00"/>
    <x v="1"/>
  </r>
  <r>
    <n v="1000"/>
    <s v="Wallet"/>
    <s v="Money"/>
    <x v="4"/>
    <x v="1"/>
    <d v="2024-02-25T00:00:00"/>
    <x v="1"/>
  </r>
  <r>
    <n v="-250"/>
    <s v="Wallet"/>
    <s v="Money"/>
    <x v="12"/>
    <x v="0"/>
    <d v="2024-02-25T00:00:00"/>
    <x v="1"/>
  </r>
  <r>
    <n v="-100"/>
    <s v="Millennium"/>
    <s v="Account"/>
    <x v="0"/>
    <x v="0"/>
    <d v="2024-02-26T00:00:00"/>
    <x v="1"/>
  </r>
  <r>
    <n v="-50"/>
    <s v="Millennium"/>
    <s v="Account"/>
    <x v="5"/>
    <x v="0"/>
    <d v="2024-02-26T00:00:00"/>
    <x v="1"/>
  </r>
  <r>
    <n v="15"/>
    <s v="Millennium"/>
    <s v="Savings account"/>
    <x v="11"/>
    <x v="1"/>
    <d v="2024-02-27T00:00:00"/>
    <x v="1"/>
  </r>
  <r>
    <n v="-150"/>
    <s v="Santander"/>
    <s v="Account"/>
    <x v="3"/>
    <x v="0"/>
    <d v="2024-02-28T00:00:00"/>
    <x v="1"/>
  </r>
  <r>
    <n v="100"/>
    <s v="Santander"/>
    <s v="Fixed-term deposit"/>
    <x v="11"/>
    <x v="1"/>
    <d v="2024-02-28T00:00:00"/>
    <x v="1"/>
  </r>
  <r>
    <n v="-25"/>
    <s v="Santander"/>
    <s v="Credit card"/>
    <x v="0"/>
    <x v="0"/>
    <d v="2024-03-01T00:00:00"/>
    <x v="2"/>
  </r>
  <r>
    <n v="-135.5"/>
    <s v="Santander"/>
    <s v="Account"/>
    <x v="0"/>
    <x v="0"/>
    <d v="2024-03-02T00:00:00"/>
    <x v="2"/>
  </r>
  <r>
    <n v="-82.5"/>
    <s v="Millennium"/>
    <s v="Account"/>
    <x v="8"/>
    <x v="0"/>
    <d v="2024-03-02T00:00:00"/>
    <x v="2"/>
  </r>
  <r>
    <n v="-200"/>
    <s v="Santander"/>
    <s v="Account"/>
    <x v="7"/>
    <x v="0"/>
    <d v="2024-03-04T00:00:00"/>
    <x v="2"/>
  </r>
  <r>
    <n v="150"/>
    <s v="Millennium"/>
    <s v="Account"/>
    <x v="11"/>
    <x v="1"/>
    <d v="2024-03-06T00:00:00"/>
    <x v="2"/>
  </r>
  <r>
    <n v="-24.49"/>
    <s v="Wallet"/>
    <s v="Gift card"/>
    <x v="0"/>
    <x v="0"/>
    <d v="2024-03-08T00:00:00"/>
    <x v="2"/>
  </r>
  <r>
    <n v="4500"/>
    <s v="Santander"/>
    <s v="Account"/>
    <x v="1"/>
    <x v="1"/>
    <d v="2024-03-10T00:00:00"/>
    <x v="2"/>
  </r>
  <r>
    <n v="-2000"/>
    <s v="Santander"/>
    <s v="Account"/>
    <x v="2"/>
    <x v="0"/>
    <d v="2024-03-11T00:00:00"/>
    <x v="2"/>
  </r>
  <r>
    <n v="-200"/>
    <s v="Santander"/>
    <s v="Account"/>
    <x v="0"/>
    <x v="0"/>
    <d v="2024-03-12T00:00:00"/>
    <x v="2"/>
  </r>
  <r>
    <n v="-469.9"/>
    <s v="Santander"/>
    <s v="Account"/>
    <x v="9"/>
    <x v="0"/>
    <d v="2024-03-13T00:00:00"/>
    <x v="2"/>
  </r>
  <r>
    <n v="-9.5"/>
    <s v="Wallet"/>
    <s v="Money"/>
    <x v="12"/>
    <x v="0"/>
    <d v="2024-03-17T00:00:00"/>
    <x v="2"/>
  </r>
  <r>
    <n v="-23"/>
    <s v="Santander"/>
    <s v="Account"/>
    <x v="3"/>
    <x v="0"/>
    <d v="2024-03-20T00:00:00"/>
    <x v="2"/>
  </r>
  <r>
    <n v="-150"/>
    <s v="Santander"/>
    <s v="Account"/>
    <x v="0"/>
    <x v="0"/>
    <d v="2024-03-22T00:00:00"/>
    <x v="2"/>
  </r>
  <r>
    <n v="-300"/>
    <s v="Santander"/>
    <s v="Account"/>
    <x v="5"/>
    <x v="0"/>
    <d v="2024-03-24T00:00:00"/>
    <x v="2"/>
  </r>
  <r>
    <n v="5"/>
    <s v="Millennium"/>
    <s v="Savings account"/>
    <x v="14"/>
    <x v="1"/>
    <d v="2024-03-26T00:00:00"/>
    <x v="2"/>
  </r>
  <r>
    <n v="-79.5"/>
    <s v="Santander"/>
    <s v="Credit card"/>
    <x v="10"/>
    <x v="0"/>
    <d v="2024-03-28T00:00:00"/>
    <x v="2"/>
  </r>
  <r>
    <n v="-200"/>
    <s v="Santander"/>
    <s v="Account"/>
    <x v="0"/>
    <x v="0"/>
    <d v="2024-03-30T00:00:00"/>
    <x v="2"/>
  </r>
  <r>
    <n v="-23.5"/>
    <s v="Santander"/>
    <s v="Credit card"/>
    <x v="12"/>
    <x v="0"/>
    <d v="2024-04-01T00:00:00"/>
    <x v="3"/>
  </r>
  <r>
    <n v="-82.5"/>
    <s v="Santander"/>
    <s v="Account"/>
    <x v="8"/>
    <x v="0"/>
    <d v="2024-04-02T00:00:00"/>
    <x v="3"/>
  </r>
  <r>
    <n v="150"/>
    <s v="Millennium"/>
    <s v="Account"/>
    <x v="11"/>
    <x v="1"/>
    <d v="2024-04-06T00:00:00"/>
    <x v="3"/>
  </r>
  <r>
    <n v="-99.97"/>
    <s v="Santander"/>
    <s v="Account"/>
    <x v="0"/>
    <x v="0"/>
    <d v="2024-04-07T00:00:00"/>
    <x v="3"/>
  </r>
  <r>
    <n v="4500"/>
    <s v="Santander"/>
    <s v="Account"/>
    <x v="1"/>
    <x v="1"/>
    <d v="2024-04-10T00:00:00"/>
    <x v="3"/>
  </r>
  <r>
    <n v="-2000"/>
    <s v="Santander"/>
    <s v="Account"/>
    <x v="2"/>
    <x v="0"/>
    <d v="2024-04-11T00:00:00"/>
    <x v="3"/>
  </r>
  <r>
    <n v="-149"/>
    <s v="Santander"/>
    <s v="Account"/>
    <x v="9"/>
    <x v="0"/>
    <d v="2024-04-13T00:00:00"/>
    <x v="3"/>
  </r>
  <r>
    <n v="104.5"/>
    <s v="Santander"/>
    <s v="Credit card"/>
    <x v="13"/>
    <x v="2"/>
    <d v="2024-04-15T00:00:00"/>
    <x v="3"/>
  </r>
  <r>
    <n v="-104.5"/>
    <s v="Santander"/>
    <s v="Account"/>
    <x v="13"/>
    <x v="2"/>
    <d v="2024-04-15T00:00:00"/>
    <x v="3"/>
  </r>
  <r>
    <n v="-49"/>
    <s v="Millennium"/>
    <s v="Account"/>
    <x v="3"/>
    <x v="0"/>
    <d v="2024-04-15T00:00:00"/>
    <x v="3"/>
  </r>
  <r>
    <n v="-9.99"/>
    <s v="Santander"/>
    <s v="Credit card"/>
    <x v="0"/>
    <x v="0"/>
    <d v="2024-04-16T00:00:00"/>
    <x v="3"/>
  </r>
  <r>
    <n v="-100"/>
    <s v="Santander"/>
    <s v="Account"/>
    <x v="5"/>
    <x v="0"/>
    <d v="2024-04-17T00:00:00"/>
    <x v="3"/>
  </r>
  <r>
    <n v="-57.9"/>
    <s v="Santander"/>
    <s v="Credit card"/>
    <x v="7"/>
    <x v="0"/>
    <d v="2024-04-19T00:00:00"/>
    <x v="3"/>
  </r>
  <r>
    <n v="-159.9"/>
    <s v="Santander"/>
    <s v="Account"/>
    <x v="0"/>
    <x v="0"/>
    <d v="2024-04-21T00:00:00"/>
    <x v="3"/>
  </r>
  <r>
    <n v="-1000"/>
    <s v="Santander"/>
    <s v="Account"/>
    <x v="7"/>
    <x v="0"/>
    <d v="2024-04-23T00:00:00"/>
    <x v="3"/>
  </r>
  <r>
    <n v="50"/>
    <s v="Millennium"/>
    <s v="Savings account"/>
    <x v="14"/>
    <x v="1"/>
    <d v="2024-04-25T00:00:00"/>
    <x v="3"/>
  </r>
  <r>
    <n v="-69.900000000000006"/>
    <s v="Santander"/>
    <s v="Account"/>
    <x v="0"/>
    <x v="0"/>
    <d v="2024-04-27T00:00:00"/>
    <x v="3"/>
  </r>
  <r>
    <n v="-32.5"/>
    <s v="Santander"/>
    <s v="Account"/>
    <x v="0"/>
    <x v="0"/>
    <d v="2024-04-28T00:00:00"/>
    <x v="3"/>
  </r>
  <r>
    <n v="-139"/>
    <s v="Santander"/>
    <s v="Account"/>
    <x v="10"/>
    <x v="0"/>
    <d v="2024-04-29T00:00:00"/>
    <x v="3"/>
  </r>
  <r>
    <n v="-250"/>
    <s v="Santander"/>
    <s v="Credit card"/>
    <x v="0"/>
    <x v="0"/>
    <d v="2024-05-07T00:00:00"/>
    <x v="4"/>
  </r>
  <r>
    <n v="-80"/>
    <s v="Santander"/>
    <s v="Account"/>
    <x v="8"/>
    <x v="0"/>
    <d v="2024-05-10T00:00:00"/>
    <x v="4"/>
  </r>
  <r>
    <n v="4500"/>
    <s v="Santander"/>
    <s v="Account"/>
    <x v="1"/>
    <x v="1"/>
    <d v="2024-05-10T00:00:00"/>
    <x v="4"/>
  </r>
  <r>
    <n v="-2000"/>
    <s v="Santander"/>
    <s v="Account"/>
    <x v="2"/>
    <x v="0"/>
    <d v="2024-05-11T00:00:00"/>
    <x v="4"/>
  </r>
  <r>
    <n v="-250"/>
    <s v="Santander"/>
    <s v="Credit card"/>
    <x v="0"/>
    <x v="0"/>
    <d v="2024-05-14T00:00:00"/>
    <x v="4"/>
  </r>
  <r>
    <n v="91.39"/>
    <s v="Santander"/>
    <s v="Credit card"/>
    <x v="13"/>
    <x v="2"/>
    <d v="2024-05-15T00:00:00"/>
    <x v="4"/>
  </r>
  <r>
    <n v="-91.39"/>
    <s v="Santander"/>
    <s v="Account"/>
    <x v="13"/>
    <x v="2"/>
    <d v="2024-05-15T00:00:00"/>
    <x v="4"/>
  </r>
  <r>
    <n v="-250"/>
    <s v="Santander"/>
    <s v="Credit card"/>
    <x v="0"/>
    <x v="0"/>
    <d v="2024-05-21T00:00:00"/>
    <x v="4"/>
  </r>
  <r>
    <n v="-250"/>
    <s v="Santander"/>
    <s v="Credit card"/>
    <x v="0"/>
    <x v="0"/>
    <d v="2024-05-28T00:00:00"/>
    <x v="4"/>
  </r>
  <r>
    <n v="-50"/>
    <s v="Millennium"/>
    <s v="Account"/>
    <x v="3"/>
    <x v="0"/>
    <d v="2024-05-29T00:00:00"/>
    <x v="4"/>
  </r>
  <r>
    <n v="-80"/>
    <s v="Wallet"/>
    <s v="Money"/>
    <x v="7"/>
    <x v="0"/>
    <d v="2024-05-30T00:00:00"/>
    <x v="4"/>
  </r>
  <r>
    <n v="-250"/>
    <s v="Santander"/>
    <s v="Credit card"/>
    <x v="0"/>
    <x v="0"/>
    <d v="2024-06-07T00:00:00"/>
    <x v="5"/>
  </r>
  <r>
    <n v="-80"/>
    <s v="Santander"/>
    <s v="Account"/>
    <x v="8"/>
    <x v="0"/>
    <d v="2024-06-10T00:00:00"/>
    <x v="5"/>
  </r>
  <r>
    <n v="4500"/>
    <s v="Santander"/>
    <s v="Account"/>
    <x v="1"/>
    <x v="1"/>
    <d v="2024-06-10T00:00:00"/>
    <x v="5"/>
  </r>
  <r>
    <n v="-2000"/>
    <s v="Santander"/>
    <s v="Account"/>
    <x v="2"/>
    <x v="0"/>
    <d v="2024-06-11T00:00:00"/>
    <x v="5"/>
  </r>
  <r>
    <n v="-250"/>
    <s v="Santander"/>
    <s v="Credit card"/>
    <x v="0"/>
    <x v="0"/>
    <d v="2024-06-14T00:00:00"/>
    <x v="5"/>
  </r>
  <r>
    <n v="1000"/>
    <s v="Santander"/>
    <s v="Credit card"/>
    <x v="13"/>
    <x v="2"/>
    <d v="2024-06-15T00:00:00"/>
    <x v="5"/>
  </r>
  <r>
    <n v="-1000"/>
    <s v="Santander"/>
    <s v="Account"/>
    <x v="13"/>
    <x v="2"/>
    <d v="2024-06-15T00:00:00"/>
    <x v="5"/>
  </r>
  <r>
    <n v="-100"/>
    <s v="Millennium"/>
    <s v="Account"/>
    <x v="12"/>
    <x v="0"/>
    <d v="2024-06-15T00:00:00"/>
    <x v="5"/>
  </r>
  <r>
    <n v="-250"/>
    <s v="Santander"/>
    <s v="Credit card"/>
    <x v="0"/>
    <x v="0"/>
    <d v="2024-06-21T00:00:00"/>
    <x v="5"/>
  </r>
  <r>
    <n v="-250"/>
    <s v="Santander"/>
    <s v="Credit card"/>
    <x v="0"/>
    <x v="0"/>
    <d v="2024-06-28T00:00:00"/>
    <x v="5"/>
  </r>
  <r>
    <n v="-300"/>
    <s v="Santander"/>
    <s v="Credit card"/>
    <x v="9"/>
    <x v="0"/>
    <d v="2024-06-28T00:00:00"/>
    <x v="5"/>
  </r>
  <r>
    <n v="-50"/>
    <s v="Millennium"/>
    <s v="Account"/>
    <x v="3"/>
    <x v="0"/>
    <d v="2024-06-29T00:00:00"/>
    <x v="5"/>
  </r>
  <r>
    <n v="400"/>
    <s v="Millennium"/>
    <s v="Account"/>
    <x v="6"/>
    <x v="1"/>
    <d v="2024-06-29T00:00:00"/>
    <x v="5"/>
  </r>
  <r>
    <n v="-200"/>
    <s v="Wallet"/>
    <s v="Money"/>
    <x v="7"/>
    <x v="0"/>
    <d v="2024-06-30T00:00:00"/>
    <x v="5"/>
  </r>
  <r>
    <n v="-30"/>
    <s v="Wallet"/>
    <s v="Gift card"/>
    <x v="0"/>
    <x v="0"/>
    <d v="2024-07-03T00:00:00"/>
    <x v="6"/>
  </r>
  <r>
    <n v="-100"/>
    <s v="Santander"/>
    <s v="Account"/>
    <x v="7"/>
    <x v="0"/>
    <d v="2024-07-07T00:00:00"/>
    <x v="6"/>
  </r>
  <r>
    <n v="4500"/>
    <s v="Santander"/>
    <s v="Account"/>
    <x v="1"/>
    <x v="1"/>
    <d v="2024-07-10T00:00:00"/>
    <x v="6"/>
  </r>
  <r>
    <n v="-2000"/>
    <s v="Santander"/>
    <s v="Account"/>
    <x v="2"/>
    <x v="0"/>
    <d v="2024-07-11T00:00:00"/>
    <x v="6"/>
  </r>
  <r>
    <n v="-40"/>
    <s v="Santander"/>
    <s v="Credit card"/>
    <x v="0"/>
    <x v="0"/>
    <d v="2024-07-14T00:00:00"/>
    <x v="6"/>
  </r>
  <r>
    <n v="1300"/>
    <s v="Santander"/>
    <s v="Credit card"/>
    <x v="13"/>
    <x v="2"/>
    <d v="2024-07-15T00:00:00"/>
    <x v="6"/>
  </r>
  <r>
    <n v="-1300"/>
    <s v="Santander"/>
    <s v="Account"/>
    <x v="13"/>
    <x v="2"/>
    <d v="2024-07-15T00:00:00"/>
    <x v="6"/>
  </r>
  <r>
    <n v="-300"/>
    <s v="Santander"/>
    <s v="Fixed-term deposit"/>
    <x v="12"/>
    <x v="0"/>
    <d v="2024-07-16T00:00:00"/>
    <x v="6"/>
  </r>
  <r>
    <n v="800"/>
    <s v="Millennium"/>
    <s v="Savings account"/>
    <x v="14"/>
    <x v="1"/>
    <d v="2024-07-18T00:00:00"/>
    <x v="6"/>
  </r>
  <r>
    <n v="-600"/>
    <s v="Millennium"/>
    <s v="Account"/>
    <x v="7"/>
    <x v="0"/>
    <d v="2024-07-21T00:00:00"/>
    <x v="6"/>
  </r>
  <r>
    <n v="120"/>
    <s v="Santander"/>
    <s v="Fixed-term deposit"/>
    <x v="11"/>
    <x v="1"/>
    <d v="2024-07-22T00:00:00"/>
    <x v="6"/>
  </r>
  <r>
    <n v="-90"/>
    <s v="Santander"/>
    <s v="Account"/>
    <x v="8"/>
    <x v="0"/>
    <d v="2024-07-24T00:00:00"/>
    <x v="6"/>
  </r>
  <r>
    <n v="-50"/>
    <s v="Santander"/>
    <s v="Credit card"/>
    <x v="0"/>
    <x v="0"/>
    <d v="2024-07-26T00:00:00"/>
    <x v="6"/>
  </r>
  <r>
    <n v="250"/>
    <s v="Millennium"/>
    <s v="Savings account"/>
    <x v="9"/>
    <x v="0"/>
    <d v="2024-07-29T00:00:00"/>
    <x v="6"/>
  </r>
  <r>
    <n v="500"/>
    <s v="Millennium"/>
    <s v="Account"/>
    <x v="15"/>
    <x v="1"/>
    <d v="2024-07-30T00:00:00"/>
    <x v="6"/>
  </r>
  <r>
    <n v="-45"/>
    <s v="Santander"/>
    <s v="Credit card"/>
    <x v="0"/>
    <x v="0"/>
    <d v="2024-07-31T00:00:00"/>
    <x v="6"/>
  </r>
  <r>
    <n v="-600"/>
    <s v="Santander"/>
    <s v="Account"/>
    <x v="0"/>
    <x v="0"/>
    <d v="2024-08-01T00:00:00"/>
    <x v="7"/>
  </r>
  <r>
    <n v="-1020"/>
    <s v="Santander"/>
    <s v="Fixed-term deposit"/>
    <x v="13"/>
    <x v="2"/>
    <d v="2024-08-01T00:00:00"/>
    <x v="7"/>
  </r>
  <r>
    <n v="-200"/>
    <s v="Millennium"/>
    <s v="Account"/>
    <x v="8"/>
    <x v="0"/>
    <d v="2024-08-01T00:00:00"/>
    <x v="7"/>
  </r>
  <r>
    <n v="-70"/>
    <s v="Santander"/>
    <s v="Credit card"/>
    <x v="0"/>
    <x v="0"/>
    <d v="2024-08-09T00:00:00"/>
    <x v="7"/>
  </r>
  <r>
    <n v="4500"/>
    <s v="Santander"/>
    <s v="Account"/>
    <x v="1"/>
    <x v="1"/>
    <d v="2024-08-10T00:00:00"/>
    <x v="7"/>
  </r>
  <r>
    <n v="-2000"/>
    <s v="Santander"/>
    <s v="Account"/>
    <x v="2"/>
    <x v="0"/>
    <d v="2024-08-11T00:00:00"/>
    <x v="7"/>
  </r>
  <r>
    <n v="-100"/>
    <s v="Millennium"/>
    <s v="Account"/>
    <x v="7"/>
    <x v="0"/>
    <d v="2024-08-14T00:00:00"/>
    <x v="7"/>
  </r>
  <r>
    <n v="135"/>
    <s v="Santander"/>
    <s v="Credit card"/>
    <x v="13"/>
    <x v="2"/>
    <d v="2024-08-15T00:00:00"/>
    <x v="7"/>
  </r>
  <r>
    <n v="-135"/>
    <s v="Santander"/>
    <s v="Account"/>
    <x v="13"/>
    <x v="2"/>
    <d v="2024-08-15T00:00:00"/>
    <x v="7"/>
  </r>
  <r>
    <n v="-400"/>
    <s v="Santander"/>
    <s v="Account"/>
    <x v="12"/>
    <x v="0"/>
    <d v="2024-08-16T00:00:00"/>
    <x v="7"/>
  </r>
  <r>
    <n v="-32"/>
    <s v="Santander"/>
    <s v="Credit card"/>
    <x v="0"/>
    <x v="0"/>
    <d v="2024-08-18T00:00:00"/>
    <x v="7"/>
  </r>
  <r>
    <n v="200"/>
    <s v="Wallet"/>
    <s v="Money"/>
    <x v="14"/>
    <x v="1"/>
    <d v="2024-08-20T00:00:00"/>
    <x v="7"/>
  </r>
  <r>
    <n v="-150"/>
    <s v="Wallet"/>
    <s v="Money"/>
    <x v="7"/>
    <x v="0"/>
    <d v="2024-08-22T00:00:00"/>
    <x v="7"/>
  </r>
  <r>
    <n v="-47.5"/>
    <s v="Wallet"/>
    <s v="Money"/>
    <x v="0"/>
    <x v="0"/>
    <d v="2024-08-23T00:00:00"/>
    <x v="7"/>
  </r>
  <r>
    <n v="-90"/>
    <s v="Santander"/>
    <s v="Account"/>
    <x v="8"/>
    <x v="0"/>
    <d v="2024-08-24T00:00:00"/>
    <x v="7"/>
  </r>
  <r>
    <n v="-300"/>
    <s v="Millennium"/>
    <s v="Savings account"/>
    <x v="9"/>
    <x v="0"/>
    <d v="2024-08-27T00:00:00"/>
    <x v="7"/>
  </r>
  <r>
    <n v="500"/>
    <s v="Millennium"/>
    <s v="Account"/>
    <x v="15"/>
    <x v="1"/>
    <d v="2024-08-30T00:00:00"/>
    <x v="7"/>
  </r>
  <r>
    <n v="200"/>
    <s v="Santander"/>
    <s v="Account"/>
    <x v="14"/>
    <x v="1"/>
    <d v="2024-08-31T00:00:00"/>
    <x v="7"/>
  </r>
  <r>
    <n v="-150"/>
    <s v="Santander"/>
    <s v="Account"/>
    <x v="8"/>
    <x v="0"/>
    <d v="2024-09-01T00:00:00"/>
    <x v="8"/>
  </r>
  <r>
    <n v="-20"/>
    <s v="Millennium"/>
    <s v="Account"/>
    <x v="0"/>
    <x v="0"/>
    <d v="2024-09-04T00:00:00"/>
    <x v="8"/>
  </r>
  <r>
    <n v="-40"/>
    <s v="Santander"/>
    <s v="Account"/>
    <x v="3"/>
    <x v="0"/>
    <d v="2024-09-07T00:00:00"/>
    <x v="8"/>
  </r>
  <r>
    <n v="-500"/>
    <s v="Santander"/>
    <s v="Account"/>
    <x v="0"/>
    <x v="0"/>
    <d v="2024-09-08T00:00:00"/>
    <x v="8"/>
  </r>
  <r>
    <n v="4500"/>
    <s v="Santander"/>
    <s v="Account"/>
    <x v="1"/>
    <x v="1"/>
    <d v="2024-09-10T00:00:00"/>
    <x v="8"/>
  </r>
  <r>
    <n v="-20"/>
    <s v="Santander"/>
    <s v="Credit card"/>
    <x v="7"/>
    <x v="0"/>
    <d v="2024-09-11T00:00:00"/>
    <x v="8"/>
  </r>
  <r>
    <n v="-2000"/>
    <s v="Santander"/>
    <s v="Account"/>
    <x v="2"/>
    <x v="0"/>
    <d v="2024-09-11T00:00:00"/>
    <x v="8"/>
  </r>
  <r>
    <n v="102"/>
    <s v="Santander"/>
    <s v="Credit card"/>
    <x v="13"/>
    <x v="2"/>
    <d v="2024-09-15T00:00:00"/>
    <x v="8"/>
  </r>
  <r>
    <n v="-102"/>
    <s v="Santander"/>
    <s v="Account"/>
    <x v="13"/>
    <x v="2"/>
    <d v="2024-09-15T00:00:00"/>
    <x v="8"/>
  </r>
  <r>
    <n v="-18.5"/>
    <s v="Santander"/>
    <s v="Account"/>
    <x v="0"/>
    <x v="0"/>
    <d v="2024-09-18T00:00:00"/>
    <x v="8"/>
  </r>
  <r>
    <n v="-150"/>
    <s v="Santander"/>
    <s v="Account"/>
    <x v="8"/>
    <x v="0"/>
    <d v="2024-10-01T00:00:00"/>
    <x v="9"/>
  </r>
  <r>
    <n v="-40"/>
    <s v="Santander"/>
    <s v="Account"/>
    <x v="3"/>
    <x v="0"/>
    <d v="2024-10-07T00:00:00"/>
    <x v="9"/>
  </r>
  <r>
    <n v="-600"/>
    <s v="Santander"/>
    <s v="Account"/>
    <x v="0"/>
    <x v="0"/>
    <d v="2024-10-08T00:00:00"/>
    <x v="9"/>
  </r>
  <r>
    <n v="4500"/>
    <s v="Santander"/>
    <s v="Account"/>
    <x v="1"/>
    <x v="1"/>
    <d v="2024-10-10T00:00:00"/>
    <x v="9"/>
  </r>
  <r>
    <n v="-40"/>
    <s v="Santander"/>
    <s v="Credit card"/>
    <x v="7"/>
    <x v="0"/>
    <d v="2024-10-11T00:00:00"/>
    <x v="9"/>
  </r>
  <r>
    <n v="-2000"/>
    <s v="Santander"/>
    <s v="Account"/>
    <x v="2"/>
    <x v="0"/>
    <d v="2024-10-11T00:00:00"/>
    <x v="9"/>
  </r>
  <r>
    <n v="20"/>
    <s v="Santander"/>
    <s v="Credit card"/>
    <x v="13"/>
    <x v="2"/>
    <d v="2024-10-15T00:00:00"/>
    <x v="9"/>
  </r>
  <r>
    <n v="-20"/>
    <s v="Santander"/>
    <s v="Account"/>
    <x v="13"/>
    <x v="2"/>
    <d v="2024-10-15T00:00:00"/>
    <x v="9"/>
  </r>
  <r>
    <n v="4500"/>
    <s v="Santander"/>
    <s v="Account"/>
    <x v="1"/>
    <x v="1"/>
    <d v="2024-11-10T00:00:00"/>
    <x v="10"/>
  </r>
  <r>
    <n v="-2000"/>
    <s v="Santander"/>
    <s v="Account"/>
    <x v="2"/>
    <x v="0"/>
    <d v="2024-11-11T00:00:00"/>
    <x v="10"/>
  </r>
  <r>
    <n v="-82"/>
    <s v="Santander"/>
    <s v="Account"/>
    <x v="8"/>
    <x v="0"/>
    <d v="2024-11-11T00:00:00"/>
    <x v="10"/>
  </r>
  <r>
    <n v="-200"/>
    <s v="Santander"/>
    <s v="Account"/>
    <x v="0"/>
    <x v="0"/>
    <d v="2024-11-11T00:00:00"/>
    <x v="10"/>
  </r>
  <r>
    <n v="-12"/>
    <s v="Santander"/>
    <s v="Account"/>
    <x v="3"/>
    <x v="0"/>
    <d v="2024-11-12T00:00:00"/>
    <x v="10"/>
  </r>
  <r>
    <n v="-90"/>
    <s v="Santander"/>
    <s v="Account"/>
    <x v="7"/>
    <x v="0"/>
    <d v="2024-11-14T00:00:00"/>
    <x v="10"/>
  </r>
  <r>
    <n v="40"/>
    <s v="Santander"/>
    <s v="Credit card"/>
    <x v="13"/>
    <x v="2"/>
    <d v="2024-11-15T00:00:00"/>
    <x v="10"/>
  </r>
  <r>
    <n v="-40"/>
    <s v="Santander"/>
    <s v="Account"/>
    <x v="13"/>
    <x v="2"/>
    <d v="2024-11-15T00:00:00"/>
    <x v="10"/>
  </r>
  <r>
    <n v="-28"/>
    <s v="Santander"/>
    <s v="Account"/>
    <x v="0"/>
    <x v="0"/>
    <d v="2024-11-16T00:00:00"/>
    <x v="10"/>
  </r>
  <r>
    <n v="-63"/>
    <s v="Santander"/>
    <s v="Account"/>
    <x v="12"/>
    <x v="0"/>
    <d v="2024-11-17T00:00:00"/>
    <x v="10"/>
  </r>
  <r>
    <n v="-15"/>
    <s v="Santander"/>
    <s v="Account"/>
    <x v="8"/>
    <x v="0"/>
    <d v="2024-11-17T00:00:00"/>
    <x v="10"/>
  </r>
  <r>
    <n v="-44"/>
    <s v="Santander"/>
    <s v="Account"/>
    <x v="0"/>
    <x v="0"/>
    <d v="2024-11-19T00:00:00"/>
    <x v="10"/>
  </r>
  <r>
    <n v="-107"/>
    <s v="Santander"/>
    <s v="Account"/>
    <x v="9"/>
    <x v="0"/>
    <d v="2024-11-20T00:00:00"/>
    <x v="10"/>
  </r>
  <r>
    <n v="-169"/>
    <s v="Santander"/>
    <s v="Account"/>
    <x v="5"/>
    <x v="0"/>
    <d v="2024-11-21T00:00:00"/>
    <x v="10"/>
  </r>
  <r>
    <n v="-51"/>
    <s v="Santander"/>
    <s v="Account"/>
    <x v="9"/>
    <x v="0"/>
    <d v="2024-11-22T00:00:00"/>
    <x v="10"/>
  </r>
  <r>
    <n v="-80"/>
    <s v="Santander"/>
    <s v="Account"/>
    <x v="0"/>
    <x v="0"/>
    <d v="2024-11-22T00:00:00"/>
    <x v="10"/>
  </r>
  <r>
    <n v="-70"/>
    <s v="Santander"/>
    <s v="Account"/>
    <x v="12"/>
    <x v="0"/>
    <d v="2024-11-22T00:00:00"/>
    <x v="10"/>
  </r>
  <r>
    <n v="-35"/>
    <s v="Santander"/>
    <s v="Account"/>
    <x v="3"/>
    <x v="0"/>
    <d v="2024-11-23T00:00:00"/>
    <x v="10"/>
  </r>
  <r>
    <n v="-11"/>
    <s v="Santander"/>
    <s v="Account"/>
    <x v="8"/>
    <x v="0"/>
    <d v="2024-11-23T00:00:00"/>
    <x v="10"/>
  </r>
  <r>
    <n v="-80"/>
    <s v="Santander"/>
    <s v="Account"/>
    <x v="7"/>
    <x v="0"/>
    <d v="2024-11-25T00:00:00"/>
    <x v="10"/>
  </r>
  <r>
    <n v="-58"/>
    <s v="Santander"/>
    <s v="Account"/>
    <x v="0"/>
    <x v="0"/>
    <d v="2024-11-26T00:00:00"/>
    <x v="10"/>
  </r>
  <r>
    <n v="-52"/>
    <s v="Santander"/>
    <s v="Account"/>
    <x v="8"/>
    <x v="0"/>
    <d v="2024-11-27T00:00:00"/>
    <x v="10"/>
  </r>
  <r>
    <n v="-44"/>
    <s v="Santander"/>
    <s v="Account"/>
    <x v="7"/>
    <x v="0"/>
    <d v="2024-11-27T00:00:00"/>
    <x v="10"/>
  </r>
  <r>
    <n v="-48"/>
    <s v="Santander"/>
    <s v="Account"/>
    <x v="8"/>
    <x v="0"/>
    <d v="2024-11-27T00:00:00"/>
    <x v="10"/>
  </r>
  <r>
    <n v="-65"/>
    <s v="Santander"/>
    <s v="Account"/>
    <x v="5"/>
    <x v="0"/>
    <d v="2024-11-28T00:00:00"/>
    <x v="10"/>
  </r>
  <r>
    <n v="400"/>
    <s v="Wallet"/>
    <s v="Money"/>
    <x v="14"/>
    <x v="1"/>
    <d v="2024-11-29T00:00:00"/>
    <x v="10"/>
  </r>
  <r>
    <n v="-96"/>
    <s v="Santander"/>
    <s v="Account"/>
    <x v="0"/>
    <x v="0"/>
    <d v="2024-11-30T00:00:00"/>
    <x v="10"/>
  </r>
  <r>
    <n v="-50"/>
    <s v="Santander"/>
    <s v="Account"/>
    <x v="0"/>
    <x v="0"/>
    <d v="2024-12-01T00:00:00"/>
    <x v="11"/>
  </r>
  <r>
    <n v="-50"/>
    <s v="Santander"/>
    <s v="Account"/>
    <x v="0"/>
    <x v="0"/>
    <d v="2024-12-01T00:00:00"/>
    <x v="11"/>
  </r>
  <r>
    <n v="-5"/>
    <s v="Santander"/>
    <s v="Account"/>
    <x v="12"/>
    <x v="0"/>
    <d v="2024-12-02T00:00:00"/>
    <x v="11"/>
  </r>
  <r>
    <n v="-100"/>
    <s v="Santander"/>
    <s v="Account"/>
    <x v="5"/>
    <x v="0"/>
    <d v="2024-12-02T00:00:00"/>
    <x v="11"/>
  </r>
  <r>
    <n v="-60"/>
    <s v="Santander"/>
    <s v="Account"/>
    <x v="9"/>
    <x v="0"/>
    <d v="2024-12-02T00:00:00"/>
    <x v="11"/>
  </r>
  <r>
    <n v="-5"/>
    <s v="Santander"/>
    <s v="Account"/>
    <x v="12"/>
    <x v="0"/>
    <d v="2024-12-02T00:00:00"/>
    <x v="11"/>
  </r>
  <r>
    <n v="-100"/>
    <s v="Santander"/>
    <s v="Account"/>
    <x v="5"/>
    <x v="0"/>
    <d v="2024-12-02T00:00:00"/>
    <x v="11"/>
  </r>
  <r>
    <n v="-60"/>
    <s v="Santander"/>
    <s v="Account"/>
    <x v="9"/>
    <x v="0"/>
    <d v="2024-12-02T00:00:00"/>
    <x v="11"/>
  </r>
  <r>
    <n v="-150"/>
    <s v="Santander"/>
    <s v="Account"/>
    <x v="7"/>
    <x v="0"/>
    <d v="2024-12-03T00:00:00"/>
    <x v="11"/>
  </r>
  <r>
    <n v="-150"/>
    <s v="Santander"/>
    <s v="Account"/>
    <x v="7"/>
    <x v="0"/>
    <d v="2024-12-03T00:00:00"/>
    <x v="11"/>
  </r>
  <r>
    <n v="-100"/>
    <s v="Santander"/>
    <s v="Account"/>
    <x v="0"/>
    <x v="0"/>
    <d v="2024-12-06T00:00:00"/>
    <x v="11"/>
  </r>
  <r>
    <n v="-100"/>
    <s v="Santander"/>
    <s v="Account"/>
    <x v="0"/>
    <x v="0"/>
    <d v="2024-12-06T00:00:00"/>
    <x v="11"/>
  </r>
  <r>
    <n v="4500"/>
    <s v="Santander"/>
    <s v="Account"/>
    <x v="1"/>
    <x v="1"/>
    <d v="2024-12-10T00:00:00"/>
    <x v="11"/>
  </r>
  <r>
    <n v="-2000"/>
    <s v="Santander"/>
    <s v="Account"/>
    <x v="2"/>
    <x v="0"/>
    <d v="2024-12-11T00:00:00"/>
    <x v="11"/>
  </r>
  <r>
    <n v="-50"/>
    <s v="Santander"/>
    <s v="Account"/>
    <x v="7"/>
    <x v="0"/>
    <d v="2024-12-14T00:00:00"/>
    <x v="11"/>
  </r>
  <r>
    <n v="-100"/>
    <s v="Santander"/>
    <s v="Account"/>
    <x v="10"/>
    <x v="0"/>
    <d v="2024-12-15T00:00:00"/>
    <x v="11"/>
  </r>
  <r>
    <n v="-100"/>
    <s v="Santander"/>
    <s v="Account"/>
    <x v="0"/>
    <x v="0"/>
    <d v="2024-12-18T00:00:00"/>
    <x v="11"/>
  </r>
  <r>
    <n v="500"/>
    <s v="Wallet"/>
    <s v="Money"/>
    <x v="14"/>
    <x v="1"/>
    <d v="2024-12-22T00:00:00"/>
    <x v="11"/>
  </r>
  <r>
    <n v="-100"/>
    <s v="Wallet"/>
    <s v="Money"/>
    <x v="7"/>
    <x v="0"/>
    <d v="2024-12-23T00:00:00"/>
    <x v="11"/>
  </r>
  <r>
    <n v="1500"/>
    <s v="Wallet"/>
    <s v="Money"/>
    <x v="14"/>
    <x v="1"/>
    <d v="2024-12-24T00:00:00"/>
    <x v="11"/>
  </r>
  <r>
    <n v="-500"/>
    <s v="Wallet"/>
    <s v="Money"/>
    <x v="5"/>
    <x v="0"/>
    <d v="2024-12-28T00:00:00"/>
    <x v="11"/>
  </r>
  <r>
    <n v="-300"/>
    <s v="Wallet"/>
    <s v="Money"/>
    <x v="0"/>
    <x v="0"/>
    <d v="2024-12-30T00:00:00"/>
    <x v="11"/>
  </r>
  <r>
    <n v="1020"/>
    <s v="Santander"/>
    <s v="Account"/>
    <x v="13"/>
    <x v="2"/>
    <d v="2024-08-01T00:00:0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F5294-1E5E-428F-8F85-CDE978672B6F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N24" firstHeaderRow="1" firstDataRow="2" firstDataCol="1"/>
  <pivotFields count="7">
    <pivotField dataField="1" numFmtId="164" showAll="0"/>
    <pivotField showAll="0"/>
    <pivotField showAll="0"/>
    <pivotField axis="axisRow" showAll="0">
      <items count="17">
        <item x="2"/>
        <item x="6"/>
        <item x="9"/>
        <item x="7"/>
        <item x="11"/>
        <item x="14"/>
        <item x="0"/>
        <item x="12"/>
        <item x="3"/>
        <item x="5"/>
        <item x="4"/>
        <item x="1"/>
        <item x="15"/>
        <item x="10"/>
        <item x="13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4"/>
    <field x="3"/>
  </rowFields>
  <rowItems count="20">
    <i>
      <x/>
    </i>
    <i r="1">
      <x/>
    </i>
    <i r="1">
      <x v="2"/>
    </i>
    <i r="1">
      <x v="3"/>
    </i>
    <i r="1">
      <x v="6"/>
    </i>
    <i r="1">
      <x v="7"/>
    </i>
    <i r="1">
      <x v="8"/>
    </i>
    <i r="1">
      <x v="9"/>
    </i>
    <i r="1">
      <x v="13"/>
    </i>
    <i r="1">
      <x v="15"/>
    </i>
    <i>
      <x v="1"/>
    </i>
    <i r="1">
      <x v="1"/>
    </i>
    <i r="1">
      <x v="4"/>
    </i>
    <i r="1">
      <x v="5"/>
    </i>
    <i r="1">
      <x v="10"/>
    </i>
    <i r="1">
      <x v="11"/>
    </i>
    <i r="1">
      <x v="12"/>
    </i>
    <i>
      <x v="2"/>
    </i>
    <i r="1">
      <x v="14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z Amount" fld="0" baseField="0" baseItem="0" numFmtId="164"/>
  </dataFields>
  <pivotTableStyleInfo name="PivotStyleLight1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8DD293-EA21-448E-BF26-7F0794365F29}" name="categories" displayName="categories" ref="A1:B17" totalsRowShown="0">
  <autoFilter ref="A1:B17" xr:uid="{988DD293-EA21-448E-BF26-7F0794365F29}"/>
  <sortState xmlns:xlrd2="http://schemas.microsoft.com/office/spreadsheetml/2017/richdata2" ref="A2:B17">
    <sortCondition ref="B2:B17"/>
    <sortCondition ref="A2:A17"/>
  </sortState>
  <tableColumns count="2">
    <tableColumn id="1" xr3:uid="{EB1BFC43-C717-4A71-BD39-DAD56162557D}" name="Category" dataDxfId="340"/>
    <tableColumn id="2" xr3:uid="{09B4546B-935D-4E3B-9914-D23E6F47C8CA}" name="Type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282AC8-BB67-E94C-B3C6-20160049C932}" name="product" displayName="product" ref="E1:F8" totalsRowShown="0" headerRowDxfId="339" dataDxfId="338">
  <autoFilter ref="E1:F8" xr:uid="{31282AC8-BB67-E94C-B3C6-20160049C932}"/>
  <sortState xmlns:xlrd2="http://schemas.microsoft.com/office/spreadsheetml/2017/richdata2" ref="E2:F8">
    <sortCondition ref="E1:E8"/>
  </sortState>
  <tableColumns count="2">
    <tableColumn id="1" xr3:uid="{D8F9100F-5E84-BD47-95F1-6CA8FA004062}" name="Bank" dataDxfId="337"/>
    <tableColumn id="2" xr3:uid="{DB431EFA-02CD-EA43-844A-6CF7EA893B17}" name="Product" dataDxfId="336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B03C4B-4E2B-4298-9D87-26D42452F08D}" name="operations" displayName="operations" ref="A1:G208" totalsRowShown="0" headerRowDxfId="335" dataDxfId="334">
  <autoFilter ref="A1:G208" xr:uid="{48B03C4B-4E2B-4298-9D87-26D42452F08D}"/>
  <tableColumns count="7">
    <tableColumn id="1" xr3:uid="{DE0CC211-32D4-48ED-9CB6-721D5B73C2DB}" name="Amount" dataDxfId="333"/>
    <tableColumn id="2" xr3:uid="{A1CCD640-15D2-4A0A-87B4-C2E89B9EE6BF}" name="Bank" dataDxfId="332"/>
    <tableColumn id="3" xr3:uid="{F24C221E-FF32-4ACF-81C3-4B34ED48DF70}" name="Product" dataDxfId="331"/>
    <tableColumn id="4" xr3:uid="{4BD5E546-D1CD-4984-8218-D530F310A0F4}" name="Category" dataDxfId="330"/>
    <tableColumn id="5" xr3:uid="{3D687262-3232-4DBB-BF55-63A0FA068F06}" name="Type" dataDxfId="329">
      <calculatedColumnFormula>_xlfn.XLOOKUP(operations[[#This Row],[Category]], categories[Category], categories[Type], " ", 0, 1)</calculatedColumnFormula>
    </tableColumn>
    <tableColumn id="6" xr3:uid="{224A67FD-B47B-417C-81C5-A15E11E1AE7F}" name="Date" dataDxfId="328"/>
    <tableColumn id="7" xr3:uid="{DAF78ADA-3719-4FA4-9534-39C50D9E815D}" name="Month" dataDxfId="327">
      <calculatedColumnFormula>MONTH(operations[[#This Row],[Date]])</calculatedColumnFormula>
    </tableColumn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B01059-0F39-475C-8CA7-34249CD6C790}" name="flow_1" displayName="flow_1" ref="A1:E9" totalsRowCount="1" headerRowDxfId="326" dataDxfId="325" totalsRowDxfId="324">
  <autoFilter ref="A1:E8" xr:uid="{07B01059-0F39-475C-8CA7-34249CD6C790}"/>
  <tableColumns count="5">
    <tableColumn id="1" xr3:uid="{3482092F-2456-44F0-A654-D2619C4823F4}" name="Bank" totalsRowLabel="Total" dataDxfId="323" totalsRowDxfId="322"/>
    <tableColumn id="2" xr3:uid="{3E4249C0-2F9E-4E8A-A5CC-618E4DFDD174}" name="Product" dataDxfId="321" totalsRowDxfId="320"/>
    <tableColumn id="3" xr3:uid="{28821EE3-E4D7-47D1-9D23-2AD4A7EFE6CB}" name="Opening Balance" totalsRowFunction="sum" dataDxfId="319" totalsRowDxfId="318"/>
    <tableColumn id="4" xr3:uid="{7B0E19C6-E0B0-4AF9-BFF0-6265D813CBBC}" name="Operations" totalsRowFunction="sum" dataDxfId="317" totalsRowDxfId="316">
      <calculatedColumnFormula>SUMIFS(operations[Amount],operations[Bank],flow_1[[#This Row],[Bank]],operations[Product],flow_1[[#This Row],[Product]],operations[Month],$B$11)</calculatedColumnFormula>
    </tableColumn>
    <tableColumn id="5" xr3:uid="{A294CF2C-A6EF-4987-85D2-A90343FB0516}" name="Closing Balance" totalsRowFunction="sum" dataDxfId="315" totalsRowDxfId="314">
      <calculatedColumnFormula>flow_1[[#This Row],[Opening Balance]] + flow_1[[#This Row],[Operations]]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51C72E-3558-49EC-BCF0-CC4D9C2229F9}" name="income_1" displayName="income_1" ref="G1:H8" totalsRowCount="1">
  <autoFilter ref="G1:H7" xr:uid="{0551C72E-3558-49EC-BCF0-CC4D9C2229F9}"/>
  <tableColumns count="2">
    <tableColumn id="1" xr3:uid="{01A276B2-71C5-4044-AFFD-74D0A5448E8F}" name="Category" totalsRowLabel="Total"/>
    <tableColumn id="2" xr3:uid="{BB816B05-4DC3-41AC-8182-E00AF664F339}" name="Total" totalsRowFunction="sum" dataDxfId="313" totalsRowDxfId="312">
      <calculatedColumnFormula>SUMIFS(operations[Amount],operations[Category],income_1[[#This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F9DFF4-146C-4358-A42C-D874B8D13F3C}" name="expenses_1" displayName="expenses_1" ref="J1:K11" totalsRowCount="1">
  <autoFilter ref="J1:K10" xr:uid="{2FF9DFF4-146C-4358-A42C-D874B8D13F3C}"/>
  <tableColumns count="2">
    <tableColumn id="1" xr3:uid="{31F41F9E-DB4C-4E4B-84D7-9EAD271E215C}" name="Category" totalsRowLabel="Total"/>
    <tableColumn id="2" xr3:uid="{74D965FB-F3CD-41AB-A121-5A4624D69242}" name="Total" totalsRowFunction="sum" dataDxfId="311" totalsRowDxfId="310">
      <calculatedColumnFormula>SUMIFS(operations[Amount],operations[Category],expenses_1[[#This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ED251C-704C-492D-B4F0-8A52A22E2F31}" name="balance_1" displayName="balance_1" ref="A13:B17" totalsRowCount="1" headerRowDxfId="309" dataDxfId="308" totalsRowDxfId="307">
  <autoFilter ref="A13:B16" xr:uid="{26ED251C-704C-492D-B4F0-8A52A22E2F31}"/>
  <tableColumns count="2">
    <tableColumn id="1" xr3:uid="{987FF457-A051-42DE-AD85-E59B4C0BCF35}" name="Type" totalsRowLabel="Total" dataDxfId="306" totalsRowDxfId="305"/>
    <tableColumn id="2" xr3:uid="{E0CC95D6-4F01-421F-BAED-C2599742EC27}" name="Total" totalsRowFunction="sum" dataDxfId="304" totalsRowDxfId="303">
      <calculatedColumnFormula>SUMIFS(operations[Amount],operations[Month],$B$11,operations[Type],balance_1[[#This Row],[Type]])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F89455-15D0-4B8A-8440-962C56ECD841}" name="flow_2" displayName="flow_2" ref="A1:E9" totalsRowCount="1" headerRowDxfId="302" dataDxfId="301" totalsRowDxfId="300">
  <autoFilter ref="A1:E8" xr:uid="{07B01059-0F39-475C-8CA7-34249CD6C790}"/>
  <tableColumns count="5">
    <tableColumn id="1" xr3:uid="{CF53132B-652C-49D0-867A-B10610013E90}" name="Bank" totalsRowLabel="Total" dataDxfId="299" totalsRowDxfId="298"/>
    <tableColumn id="2" xr3:uid="{B1F9290F-5DFE-4BD5-BB96-76022A8BDCED}" name="Product" dataDxfId="297" totalsRowDxfId="296"/>
    <tableColumn id="3" xr3:uid="{264D6384-FB4A-4998-98E7-C95877991C65}" name="Opening Balance" totalsRowFunction="sum" dataDxfId="295" totalsRowDxfId="294">
      <calculatedColumnFormula array="1">INDIRECT("flow_"&amp;$B$11-1&amp;"[@[Closing Balance]]")</calculatedColumnFormula>
    </tableColumn>
    <tableColumn id="4" xr3:uid="{01A0F300-E7B8-47F2-883B-0A2FA2B11185}" name="Operations" totalsRowFunction="sum" dataDxfId="293" totalsRowDxfId="292">
      <calculatedColumnFormula>SUMIFS(operations[Amount],operations[Bank],flow_2[[#This Row],[Bank]],operations[Product],flow_2[[#This Row],[Product]],operations[Month],$B$11)</calculatedColumnFormula>
    </tableColumn>
    <tableColumn id="5" xr3:uid="{4D9C3D09-D01E-4C09-BBB7-734326C0E64E}" name="Closing Balance" totalsRowFunction="sum" dataDxfId="291" totalsRowDxfId="290">
      <calculatedColumnFormula>flow_2[[#This Row],[Opening Balance]] + flow_2[[#This Row],[Operations]]</calculatedColumnFormula>
    </tableColumn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BF1F96D-7E00-4950-8D28-71C57F49AAE5}" name="income_2" displayName="income_2" ref="G1:H8" totalsRowCount="1">
  <autoFilter ref="G1:H7" xr:uid="{0551C72E-3558-49EC-BCF0-CC4D9C2229F9}"/>
  <tableColumns count="2">
    <tableColumn id="1" xr3:uid="{2A5A5B41-BDEB-4BC7-A754-863D2ACA0465}" name="Category" totalsRowLabel="Total"/>
    <tableColumn id="2" xr3:uid="{98A77D78-12D2-4B29-BDAA-65852086F035}" name="Total" totalsRowFunction="sum" dataDxfId="289" totalsRowDxfId="288">
      <calculatedColumnFormula>SUMIFS(operations[Amount],operations[Category],income_2[[#This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118C70E-1566-4E99-A21F-EAAE0CF58BAB}" name="expenses_2" displayName="expenses_2" ref="J1:K11" totalsRowCount="1">
  <autoFilter ref="J1:K10" xr:uid="{2FF9DFF4-146C-4358-A42C-D874B8D13F3C}"/>
  <tableColumns count="2">
    <tableColumn id="1" xr3:uid="{36BEFA8B-3CFD-4059-9C67-D215E8B4EF3C}" name="Category" totalsRowLabel="Total"/>
    <tableColumn id="2" xr3:uid="{B04F5E19-FC44-40FE-8109-03EEB724CAB3}" name="Total" totalsRowFunction="sum" dataDxfId="287" totalsRowDxfId="286">
      <calculatedColumnFormula>SUMIFS(operations[Amount],operations[Category],expenses_2[[#This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3BDFCFA-0EF0-40CD-97FA-C40C0F4932B4}" name="balance_2" displayName="balance_2" ref="A13:B17" totalsRowCount="1" headerRowDxfId="285" dataDxfId="284" totalsRowDxfId="283">
  <autoFilter ref="A13:B16" xr:uid="{26ED251C-704C-492D-B4F0-8A52A22E2F31}"/>
  <tableColumns count="2">
    <tableColumn id="1" xr3:uid="{534D1DED-427B-460D-A8B6-6FCC1A747D66}" name="Type" totalsRowLabel="Total" dataDxfId="282" totalsRowDxfId="281"/>
    <tableColumn id="2" xr3:uid="{00C59D7B-DE01-4A0B-AC4D-A4C40F13D011}" name="Total" totalsRowFunction="sum" dataDxfId="280" totalsRowDxfId="279">
      <calculatedColumnFormula>SUMIFS(operations[Amount],operations[Month],$B$11,operations[Type],balance_2[[#This Row],[Type]])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8ABCF37-F460-45AD-9290-145A93BB8AFB}" name="flow_3" displayName="flow_3" ref="A1:E9" totalsRowCount="1" headerRowDxfId="278" dataDxfId="277" totalsRowDxfId="276">
  <autoFilter ref="A1:E8" xr:uid="{07B01059-0F39-475C-8CA7-34249CD6C790}"/>
  <tableColumns count="5">
    <tableColumn id="1" xr3:uid="{8024F018-7795-45B4-8D75-C76D4C4FD4A6}" name="Bank" totalsRowLabel="Total" dataDxfId="275" totalsRowDxfId="274"/>
    <tableColumn id="2" xr3:uid="{DDC8FE7B-E9F2-41AA-86E6-4F10E922C6AC}" name="Product" dataDxfId="273" totalsRowDxfId="272"/>
    <tableColumn id="3" xr3:uid="{82E88252-85FA-4E75-B14D-838926D6063F}" name="Opening Balance" totalsRowFunction="sum" dataDxfId="271" totalsRowDxfId="270">
      <calculatedColumnFormula array="1">INDIRECT("flow_"&amp;$B$11-1&amp;"[@[Closing Balance]]")</calculatedColumnFormula>
    </tableColumn>
    <tableColumn id="4" xr3:uid="{9EEEC8C2-3DF3-4FDD-8B9A-0894E571EBA2}" name="Operations" totalsRowFunction="sum" dataDxfId="269" totalsRowDxfId="268">
      <calculatedColumnFormula>SUMIFS(operations[Amount],operations[Bank],flow_3[[#This Row],[Bank]],operations[Product],flow_3[[#This Row],[Product]],operations[Month],$B$11)</calculatedColumnFormula>
    </tableColumn>
    <tableColumn id="5" xr3:uid="{F4C35CCB-C803-443E-A4D1-6AC08197AE12}" name="Closing Balance" totalsRowFunction="sum" dataDxfId="267" totalsRowDxfId="266">
      <calculatedColumnFormula>flow_3[[#This Row],[Opening Balance]] + flow_3[[#This Row],[Operations]]</calculatedColumnFormula>
    </tableColumn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835282D-1774-4507-BD92-E22FEEA5CBBC}" name="income_3" displayName="income_3" ref="G1:H8" totalsRowCount="1">
  <autoFilter ref="G1:H7" xr:uid="{0551C72E-3558-49EC-BCF0-CC4D9C2229F9}"/>
  <tableColumns count="2">
    <tableColumn id="1" xr3:uid="{0091FE33-E294-4D76-81C0-B71D05BA268D}" name="Category" totalsRowLabel="Total"/>
    <tableColumn id="2" xr3:uid="{22A17E5B-FA4A-4532-B3D3-FB62C41ADD3C}" name="Total" totalsRowFunction="sum" dataDxfId="265" totalsRowDxfId="264">
      <calculatedColumnFormula>SUMIFS(operations[Amount],operations[Category],income_3[[#This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3F774F0-0F0C-44F2-A516-7A777E2564FC}" name="expenses_3" displayName="expenses_3" ref="J1:K11" totalsRowCount="1">
  <autoFilter ref="J1:K10" xr:uid="{2FF9DFF4-146C-4358-A42C-D874B8D13F3C}"/>
  <tableColumns count="2">
    <tableColumn id="1" xr3:uid="{837015D0-592F-40F0-A565-102318F8F1C5}" name="Category" totalsRowLabel="Total"/>
    <tableColumn id="2" xr3:uid="{54ADB260-74D6-4DD4-96EB-772EF45BBC11}" name="Total" totalsRowFunction="sum" dataDxfId="263" totalsRowDxfId="262">
      <calculatedColumnFormula>SUMIFS(operations[Amount],operations[Category],expenses_3[[#This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D94040C-ADFB-420B-BA85-A1B408996590}" name="balance_3" displayName="balance_3" ref="A13:B17" totalsRowCount="1" headerRowDxfId="261" dataDxfId="260" totalsRowDxfId="259">
  <autoFilter ref="A13:B16" xr:uid="{26ED251C-704C-492D-B4F0-8A52A22E2F31}"/>
  <tableColumns count="2">
    <tableColumn id="1" xr3:uid="{8637AFC4-09E0-442C-8772-9F70AA38C9A6}" name="Type" totalsRowLabel="Total" dataDxfId="258" totalsRowDxfId="257"/>
    <tableColumn id="2" xr3:uid="{A3D40760-66B0-4A39-B9D5-80C49D736EDF}" name="Total" totalsRowFunction="sum" dataDxfId="256" totalsRowDxfId="255">
      <calculatedColumnFormula>SUMIFS(operations[Amount],operations[Month],$B$11,operations[Type],balance_3[[#This Row],[Type]])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B7AAE85-8449-4480-A0DD-E0544CF9F929}" name="flow_4" displayName="flow_4" ref="A1:E9" totalsRowCount="1" headerRowDxfId="254" dataDxfId="253" totalsRowDxfId="252">
  <autoFilter ref="A1:E8" xr:uid="{07B01059-0F39-475C-8CA7-34249CD6C790}"/>
  <tableColumns count="5">
    <tableColumn id="1" xr3:uid="{9B193A89-EB58-401F-815F-0E323544727C}" name="Bank" totalsRowLabel="Total" dataDxfId="251" totalsRowDxfId="250"/>
    <tableColumn id="2" xr3:uid="{6FFB3889-CB07-4655-AEAB-38DDE4A93446}" name="Product" dataDxfId="249" totalsRowDxfId="248"/>
    <tableColumn id="3" xr3:uid="{24419F60-2566-4B15-8EBE-FF6538862FA3}" name="Opening Balance" totalsRowFunction="sum" dataDxfId="247" totalsRowDxfId="246">
      <calculatedColumnFormula array="1">INDIRECT("flow_"&amp;$B$11-1&amp;"[@[Closing Balance]]")</calculatedColumnFormula>
    </tableColumn>
    <tableColumn id="4" xr3:uid="{1A687AF0-05D0-45D8-B9BE-4DC652C25835}" name="Operations" totalsRowFunction="sum" dataDxfId="245" totalsRowDxfId="244">
      <calculatedColumnFormula>SUMIFS(operations[Amount],operations[Bank],flow_4[[#This Row],[Bank]],operations[Product],flow_4[[#This Row],[Product]],operations[Month],$B$11)</calculatedColumnFormula>
    </tableColumn>
    <tableColumn id="5" xr3:uid="{23FBDDE1-5504-4417-B49B-F184F9A60C34}" name="Closing Balance" totalsRowFunction="sum" dataDxfId="243" totalsRowDxfId="242">
      <calculatedColumnFormula>flow_4[[#This Row],[Opening Balance]] + flow_4[[#This Row],[Operations]]</calculatedColumnFormula>
    </tableColumn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56867C1-1727-4186-953C-AD44250D3CD4}" name="income_4" displayName="income_4" ref="G1:H8" totalsRowCount="1">
  <autoFilter ref="G1:H7" xr:uid="{0551C72E-3558-49EC-BCF0-CC4D9C2229F9}"/>
  <tableColumns count="2">
    <tableColumn id="1" xr3:uid="{8B73686A-180A-4162-BC8C-8497306EEB7C}" name="Category" totalsRowLabel="Total"/>
    <tableColumn id="2" xr3:uid="{AC63A1CA-A2DE-4609-BED9-158DBFB0BB27}" name="Total" totalsRowFunction="sum" dataDxfId="241" totalsRowDxfId="240">
      <calculatedColumnFormula>SUMIFS(operations[Amount],operations[Category],income_4[[#This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AC015C2-768F-4FEA-8550-44B04BAB2BEE}" name="expenses_4" displayName="expenses_4" ref="J1:K11" totalsRowCount="1">
  <autoFilter ref="J1:K10" xr:uid="{2FF9DFF4-146C-4358-A42C-D874B8D13F3C}"/>
  <tableColumns count="2">
    <tableColumn id="1" xr3:uid="{CF431D5A-5BD5-4A08-9D6A-69F30F445906}" name="Category" totalsRowLabel="Total"/>
    <tableColumn id="2" xr3:uid="{CC5459E4-6919-4D55-8D61-A42C26D2CBF9}" name="Total" totalsRowFunction="sum" dataDxfId="239" totalsRowDxfId="238">
      <calculatedColumnFormula>SUMIFS(operations[Amount],operations[Category],expenses_4[[#This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9BB44CB-7062-4813-9C7C-12BE0C6BA3AB}" name="balance_4" displayName="balance_4" ref="A13:B17" totalsRowCount="1" headerRowDxfId="237" dataDxfId="236" totalsRowDxfId="235">
  <autoFilter ref="A13:B16" xr:uid="{26ED251C-704C-492D-B4F0-8A52A22E2F31}"/>
  <tableColumns count="2">
    <tableColumn id="1" xr3:uid="{21C9BEA9-19AC-4F9B-97DD-2681E2877C42}" name="Type" totalsRowLabel="Total" dataDxfId="234" totalsRowDxfId="233"/>
    <tableColumn id="2" xr3:uid="{5BCD3417-F9DC-4AF4-8FC4-C7C3F707FF56}" name="Total" totalsRowFunction="sum" dataDxfId="232" totalsRowDxfId="231">
      <calculatedColumnFormula>SUMIFS(operations[Amount],operations[Month],$B$11,operations[Type],balance_4[[#This Row],[Type]])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E7FAA5B-743C-4352-AE8B-B614F5C5EFA0}" name="flow_5" displayName="flow_5" ref="A1:E9" totalsRowCount="1" headerRowDxfId="230" dataDxfId="229" totalsRowDxfId="228">
  <autoFilter ref="A1:E8" xr:uid="{07B01059-0F39-475C-8CA7-34249CD6C790}"/>
  <tableColumns count="5">
    <tableColumn id="1" xr3:uid="{68988908-32AA-40A8-A993-2988652D5FBF}" name="Bank" totalsRowLabel="Total" dataDxfId="227" totalsRowDxfId="226"/>
    <tableColumn id="2" xr3:uid="{850CB1DE-EC91-45BD-A3FD-3F43A604D1EE}" name="Product" dataDxfId="225" totalsRowDxfId="224"/>
    <tableColumn id="3" xr3:uid="{8FE62578-E3F4-4601-B1CC-37FF74FD27AA}" name="Opening Balance" totalsRowFunction="sum" dataDxfId="223" totalsRowDxfId="222">
      <calculatedColumnFormula array="1">INDIRECT("flow_"&amp;$B$11-1&amp;"[@[Closing Balance]]")</calculatedColumnFormula>
    </tableColumn>
    <tableColumn id="4" xr3:uid="{4CA4F562-FB2F-4756-BCEA-838B600833D4}" name="Operations" totalsRowFunction="sum" dataDxfId="221" totalsRowDxfId="220">
      <calculatedColumnFormula>SUMIFS(operations[Amount],operations[Bank],flow_5[[#This Row],[Bank]],operations[Product],flow_5[[#This Row],[Product]],operations[Month],$B$11)</calculatedColumnFormula>
    </tableColumn>
    <tableColumn id="5" xr3:uid="{FD44E293-DC33-4F0E-8959-4A246CCC1ED5}" name="Closing Balance" totalsRowFunction="sum" dataDxfId="219" totalsRowDxfId="218">
      <calculatedColumnFormula>flow_5[[#This Row],[Opening Balance]] + flow_5[[#This Row],[Operations]]</calculatedColumnFormula>
    </tableColumn>
  </tableColumns>
  <tableStyleInfo name="TableStyleMedium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51BD917-8A79-4953-8580-29A93EA8A847}" name="income_5" displayName="income_5" ref="G1:H8" totalsRowCount="1">
  <autoFilter ref="G1:H7" xr:uid="{0551C72E-3558-49EC-BCF0-CC4D9C2229F9}"/>
  <tableColumns count="2">
    <tableColumn id="1" xr3:uid="{54121CB7-88E3-447E-AFF2-E38135DD7D08}" name="Category" totalsRowLabel="Total"/>
    <tableColumn id="2" xr3:uid="{4BE0F713-262E-4440-AD45-C9EDCF067371}" name="Total" totalsRowFunction="sum" dataDxfId="217" totalsRowDxfId="216">
      <calculatedColumnFormula>SUMIFS(operations[Amount],operations[Category],income_5[[#This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8D7E2EC-27B5-4968-8748-62DEDD40C240}" name="expenses_5" displayName="expenses_5" ref="J1:K11" totalsRowCount="1">
  <autoFilter ref="J1:K10" xr:uid="{2FF9DFF4-146C-4358-A42C-D874B8D13F3C}"/>
  <tableColumns count="2">
    <tableColumn id="1" xr3:uid="{8D609688-E8D3-446E-A07F-66E7C6375054}" name="Category" totalsRowLabel="Total"/>
    <tableColumn id="2" xr3:uid="{7231AAB2-F432-4C5B-819E-CCD8E71AD649}" name="Total" totalsRowFunction="sum" dataDxfId="215" totalsRowDxfId="214">
      <calculatedColumnFormula>SUMIFS(operations[Amount],operations[Category],expenses_5[[#This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5693B65-4EE4-4CBF-870F-7A82DBA8CE14}" name="balance_5" displayName="balance_5" ref="A13:B17" totalsRowCount="1" headerRowDxfId="213" dataDxfId="212" totalsRowDxfId="211">
  <autoFilter ref="A13:B16" xr:uid="{26ED251C-704C-492D-B4F0-8A52A22E2F31}"/>
  <tableColumns count="2">
    <tableColumn id="1" xr3:uid="{D5E74C18-D405-4983-882B-F8E111818A2F}" name="Type" totalsRowLabel="Total" dataDxfId="210" totalsRowDxfId="209"/>
    <tableColumn id="2" xr3:uid="{847FBD8A-A3DA-43C3-99B5-DB52A7921A8D}" name="Total" totalsRowFunction="sum" dataDxfId="208" totalsRowDxfId="207">
      <calculatedColumnFormula>SUMIFS(operations[Amount],operations[Month],$B$11,operations[Type],balance_5[[#This Row],[Type]])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4900F2F-6810-47CE-A58E-3751ECC32E7F}" name="flow_6" displayName="flow_6" ref="A1:E9" totalsRowCount="1" headerRowDxfId="206" dataDxfId="205" totalsRowDxfId="204">
  <autoFilter ref="A1:E8" xr:uid="{07B01059-0F39-475C-8CA7-34249CD6C790}"/>
  <tableColumns count="5">
    <tableColumn id="1" xr3:uid="{07C4E7AF-E019-4F83-9DC7-0FEC1760240E}" name="Bank" totalsRowLabel="Total" dataDxfId="203" totalsRowDxfId="202"/>
    <tableColumn id="2" xr3:uid="{667723FF-CDD9-4DCF-8B66-67B942A29FD2}" name="Product" dataDxfId="201" totalsRowDxfId="200"/>
    <tableColumn id="3" xr3:uid="{7D8DD98A-7870-4280-A9DB-727EEE3FA699}" name="Opening Balance" totalsRowFunction="sum" dataDxfId="199" totalsRowDxfId="198">
      <calculatedColumnFormula array="1">INDIRECT("flow_"&amp;$B$11-1&amp;"[@[Closing Balance]]")</calculatedColumnFormula>
    </tableColumn>
    <tableColumn id="4" xr3:uid="{D0F5990E-FFDF-4F25-8D5E-5060EE1536B3}" name="Operations" totalsRowFunction="sum" dataDxfId="197" totalsRowDxfId="196">
      <calculatedColumnFormula>SUMIFS(operations[Amount],operations[Bank],flow_6[[#This Row],[Bank]],operations[Product],flow_6[[#This Row],[Product]],operations[Month],$B$11)</calculatedColumnFormula>
    </tableColumn>
    <tableColumn id="5" xr3:uid="{E1B6ED2B-B3F1-4671-8EFF-BF7EE33DB1CC}" name="Closing Balance" totalsRowFunction="sum" dataDxfId="195" totalsRowDxfId="194">
      <calculatedColumnFormula>flow_6[[#This Row],[Opening Balance]] + flow_6[[#This Row],[Operations]]</calculatedColumnFormula>
    </tableColumn>
  </tableColumns>
  <tableStyleInfo name="TableStyleMedium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B5CADEC-FFB8-47AD-8324-10035B90AD46}" name="income_6" displayName="income_6" ref="G1:H8" totalsRowCount="1">
  <autoFilter ref="G1:H7" xr:uid="{0551C72E-3558-49EC-BCF0-CC4D9C2229F9}"/>
  <tableColumns count="2">
    <tableColumn id="1" xr3:uid="{9270DC2E-5BFE-48BF-9AFD-C1D1D37695F6}" name="Category" totalsRowLabel="Total"/>
    <tableColumn id="2" xr3:uid="{CE02A27B-F643-466D-93F7-97F4DF37C4B9}" name="Total" totalsRowFunction="sum" dataDxfId="193" totalsRowDxfId="192">
      <calculatedColumnFormula>SUMIFS(operations[Amount],operations[Category],income_6[[#This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40FA949-FC8B-43C3-B6D6-1074AF70BE58}" name="expenses_6" displayName="expenses_6" ref="J1:K11" totalsRowCount="1">
  <autoFilter ref="J1:K10" xr:uid="{2FF9DFF4-146C-4358-A42C-D874B8D13F3C}"/>
  <tableColumns count="2">
    <tableColumn id="1" xr3:uid="{3EAF2C0D-051E-43D5-A5ED-49249A93CA41}" name="Category" totalsRowLabel="Total"/>
    <tableColumn id="2" xr3:uid="{FF8BF4AF-AC73-4B5C-ACB2-0F17ED94AA4B}" name="Total" totalsRowFunction="sum" dataDxfId="191" totalsRowDxfId="190">
      <calculatedColumnFormula>SUMIFS(operations[Amount],operations[Category],expenses_6[[#This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D7708CE-8C41-4ABF-A978-0E5C31ECB613}" name="balance_6" displayName="balance_6" ref="A13:B17" totalsRowCount="1" headerRowDxfId="189" dataDxfId="188" totalsRowDxfId="187">
  <autoFilter ref="A13:B16" xr:uid="{26ED251C-704C-492D-B4F0-8A52A22E2F31}"/>
  <tableColumns count="2">
    <tableColumn id="1" xr3:uid="{FD321DE6-A9B1-4DA7-B8DF-2A10C7CE2F46}" name="Type" totalsRowLabel="Total" dataDxfId="186" totalsRowDxfId="185"/>
    <tableColumn id="2" xr3:uid="{CD4AEA9B-0748-4901-8BCA-90DA818D1DE4}" name="Total" totalsRowFunction="sum" dataDxfId="184" totalsRowDxfId="183">
      <calculatedColumnFormula>SUMIFS(operations[Amount],operations[Month],$B$11,operations[Type],balance_6[[#This Row],[Type]])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E29663F-DD66-41BB-A0EA-F82DEF749B40}" name="flow_7" displayName="flow_7" ref="A1:E9" totalsRowCount="1" headerRowDxfId="182" dataDxfId="181" totalsRowDxfId="180">
  <autoFilter ref="A1:E8" xr:uid="{07B01059-0F39-475C-8CA7-34249CD6C790}"/>
  <tableColumns count="5">
    <tableColumn id="1" xr3:uid="{6C1093D9-3180-430B-B2EF-60EDF763DDE2}" name="Bank" totalsRowLabel="Total" dataDxfId="179" totalsRowDxfId="178"/>
    <tableColumn id="2" xr3:uid="{57FB4D1F-89DF-4CE2-8E60-425B5025B4DE}" name="Product" dataDxfId="177" totalsRowDxfId="176"/>
    <tableColumn id="3" xr3:uid="{EAA1B305-1177-4857-B6D0-4C352FFFFFA5}" name="Opening Balance" totalsRowFunction="sum" dataDxfId="175" totalsRowDxfId="174">
      <calculatedColumnFormula array="1">INDIRECT("flow_"&amp;$B$11-1&amp;"[@[Closing Balance]]")</calculatedColumnFormula>
    </tableColumn>
    <tableColumn id="4" xr3:uid="{D0871617-D929-4B5D-A0C1-D5DC75BA4A2B}" name="Operations" totalsRowFunction="sum" dataDxfId="173" totalsRowDxfId="172">
      <calculatedColumnFormula>SUMIFS(operations[Amount],operations[Bank],flow_7[[#This Row],[Bank]],operations[Product],flow_7[[#This Row],[Product]],operations[Month],$B$11)</calculatedColumnFormula>
    </tableColumn>
    <tableColumn id="5" xr3:uid="{B5819292-6F9A-4A53-8B93-8081A8C61555}" name="Closing Balance" totalsRowFunction="sum" dataDxfId="171" totalsRowDxfId="170">
      <calculatedColumnFormula>flow_7[[#This Row],[Opening Balance]] + flow_7[[#This Row],[Operations]]</calculatedColumnFormula>
    </tableColumn>
  </tableColumns>
  <tableStyleInfo name="TableStyleMedium3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4AE2FF6-204E-4750-B63C-23633280ADC4}" name="income_7" displayName="income_7" ref="G1:H8" totalsRowCount="1">
  <autoFilter ref="G1:H7" xr:uid="{0551C72E-3558-49EC-BCF0-CC4D9C2229F9}"/>
  <tableColumns count="2">
    <tableColumn id="1" xr3:uid="{AEC43BE4-9E7E-4527-A021-8D52B723A2E6}" name="Category" totalsRowLabel="Total"/>
    <tableColumn id="2" xr3:uid="{0A3CB8E5-FDC0-4773-A448-6144EDD40229}" name="Total" totalsRowFunction="sum" dataDxfId="169" totalsRowDxfId="168">
      <calculatedColumnFormula>SUMIFS(operations[Amount],operations[Category],income_7[[#This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72FC289-A646-4887-864B-4EC0F4E0822B}" name="expenses_7" displayName="expenses_7" ref="J1:K11" totalsRowCount="1">
  <autoFilter ref="J1:K10" xr:uid="{2FF9DFF4-146C-4358-A42C-D874B8D13F3C}"/>
  <tableColumns count="2">
    <tableColumn id="1" xr3:uid="{F4780A8E-B3ED-42D3-AA02-A02053786105}" name="Category" totalsRowLabel="Total"/>
    <tableColumn id="2" xr3:uid="{DFCA21F0-A170-4549-B9FC-F7CDACCBFBA6}" name="Total" totalsRowFunction="sum" dataDxfId="167" totalsRowDxfId="166">
      <calculatedColumnFormula>SUMIFS(operations[Amount],operations[Category],expenses_7[[#This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934B292-16EB-42C9-92F8-BA8D16515864}" name="balance_7" displayName="balance_7" ref="A13:B17" totalsRowCount="1" headerRowDxfId="165" dataDxfId="164" totalsRowDxfId="163">
  <autoFilter ref="A13:B16" xr:uid="{26ED251C-704C-492D-B4F0-8A52A22E2F31}"/>
  <tableColumns count="2">
    <tableColumn id="1" xr3:uid="{0E4D35E5-991F-49D6-AFFE-65AC924DD3E2}" name="Type" totalsRowLabel="Total" dataDxfId="162" totalsRowDxfId="161"/>
    <tableColumn id="2" xr3:uid="{6C3BD7BF-4CD3-4A1C-8B24-231D5DC5F8BC}" name="Total" totalsRowFunction="sum" dataDxfId="160" totalsRowDxfId="159">
      <calculatedColumnFormula>SUMIFS(operations[Amount],operations[Month],$B$11,operations[Type],balance_7[[#This Row],[Type]])</calculatedColumnFormula>
    </tableColumn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4E07BAD-8189-496F-92D5-BF62B6897403}" name="flow_8" displayName="flow_8" ref="A1:E9" totalsRowCount="1" headerRowDxfId="158" dataDxfId="157" totalsRowDxfId="156">
  <autoFilter ref="A1:E8" xr:uid="{07B01059-0F39-475C-8CA7-34249CD6C790}"/>
  <tableColumns count="5">
    <tableColumn id="1" xr3:uid="{4E24DFAE-C245-4F68-BEDA-6C905DF06D99}" name="Bank" totalsRowLabel="Total" dataDxfId="155" totalsRowDxfId="154"/>
    <tableColumn id="2" xr3:uid="{15F70807-431B-4731-9862-93338E1C3D92}" name="Product" dataDxfId="153" totalsRowDxfId="152"/>
    <tableColumn id="3" xr3:uid="{FE08D7EC-FA39-441B-94FF-B1ECA2F830E1}" name="Opening Balance" totalsRowFunction="sum" dataDxfId="151" totalsRowDxfId="150">
      <calculatedColumnFormula array="1">INDIRECT("flow_"&amp;$B$11-1&amp;"[@[Closing Balance]]")</calculatedColumnFormula>
    </tableColumn>
    <tableColumn id="4" xr3:uid="{30188F0B-45F6-497F-8F04-43245E024157}" name="Operations" totalsRowFunction="sum" dataDxfId="149" totalsRowDxfId="148">
      <calculatedColumnFormula>SUMIFS(operations[Amount],operations[Bank],flow_8[[#This Row],[Bank]],operations[Product],flow_8[[#This Row],[Product]],operations[Month],$B$11)</calculatedColumnFormula>
    </tableColumn>
    <tableColumn id="5" xr3:uid="{B4AA175E-DFB1-4A40-B3A8-E49C1C2FE7D3}" name="Closing Balance" totalsRowFunction="sum" dataDxfId="147" totalsRowDxfId="146">
      <calculatedColumnFormula>flow_8[[#This Row],[Opening Balance]] + flow_8[[#This Row],[Operations]]</calculatedColumnFormula>
    </tableColumn>
  </tableColumns>
  <tableStyleInfo name="TableStyleMedium3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21E5302-FA02-434C-AAE5-BA5A1047451C}" name="income_8" displayName="income_8" ref="G1:H8" totalsRowCount="1">
  <autoFilter ref="G1:H7" xr:uid="{0551C72E-3558-49EC-BCF0-CC4D9C2229F9}"/>
  <tableColumns count="2">
    <tableColumn id="1" xr3:uid="{4829E846-E6FA-4029-B9FF-862CD4E25DA5}" name="Category" totalsRowLabel="Total"/>
    <tableColumn id="2" xr3:uid="{C5999C3B-751D-4D6E-8BF6-46FEA6BC6C87}" name="Total" totalsRowFunction="sum" dataDxfId="145" totalsRowDxfId="144">
      <calculatedColumnFormula>SUMIFS(operations[Amount],operations[Category],income_8[[#This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EC010D9-E41D-42E5-B21D-CE1EE710A3CB}" name="expenses_8" displayName="expenses_8" ref="J1:K11" totalsRowCount="1">
  <autoFilter ref="J1:K10" xr:uid="{2FF9DFF4-146C-4358-A42C-D874B8D13F3C}"/>
  <tableColumns count="2">
    <tableColumn id="1" xr3:uid="{6A54B458-153C-4EAC-9C86-09F77B763825}" name="Category" totalsRowLabel="Total"/>
    <tableColumn id="2" xr3:uid="{9C540B74-0510-4BB9-97FF-43E00B5289D8}" name="Total" totalsRowFunction="sum" dataDxfId="143" totalsRowDxfId="142">
      <calculatedColumnFormula>SUMIFS(operations[Amount],operations[Category],expenses_8[[#This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86BFC2A-CFEB-4320-BCBF-72DC9731627E}" name="balance_8" displayName="balance_8" ref="A13:B17" totalsRowCount="1" headerRowDxfId="141" dataDxfId="140" totalsRowDxfId="139">
  <autoFilter ref="A13:B16" xr:uid="{26ED251C-704C-492D-B4F0-8A52A22E2F31}"/>
  <tableColumns count="2">
    <tableColumn id="1" xr3:uid="{FF27A0CF-F455-4AEB-A352-B81D956E7F36}" name="Type" totalsRowLabel="Total" dataDxfId="138" totalsRowDxfId="137"/>
    <tableColumn id="2" xr3:uid="{57C59EFE-D35E-4E32-B436-AB4E61B147BD}" name="Total" totalsRowFunction="sum" dataDxfId="136" totalsRowDxfId="135">
      <calculatedColumnFormula>SUMIFS(operations[Amount],operations[Month],$B$11,operations[Type],balance_8[[#This Row],[Type]])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04C6443-70CD-4D95-8364-5034718E2321}" name="flow_9" displayName="flow_9" ref="A1:E9" totalsRowCount="1" headerRowDxfId="134" dataDxfId="133" totalsRowDxfId="132">
  <autoFilter ref="A1:E8" xr:uid="{07B01059-0F39-475C-8CA7-34249CD6C790}"/>
  <tableColumns count="5">
    <tableColumn id="1" xr3:uid="{0B00ED04-6672-4829-9585-4355E6D54639}" name="Bank" totalsRowLabel="Total" dataDxfId="131" totalsRowDxfId="130"/>
    <tableColumn id="2" xr3:uid="{93F4EB95-CB61-4DB7-BDEE-48B87503C243}" name="Product" dataDxfId="129" totalsRowDxfId="128"/>
    <tableColumn id="3" xr3:uid="{0D4C9D8B-FE5C-41A8-A48A-552E85A89B94}" name="Opening Balance" totalsRowFunction="sum" dataDxfId="127" totalsRowDxfId="126">
      <calculatedColumnFormula array="1">INDIRECT("flow_"&amp;$B$11-1&amp;"[@[Closing Balance]]")</calculatedColumnFormula>
    </tableColumn>
    <tableColumn id="4" xr3:uid="{2849F2AF-943D-4041-AE58-F0CA6595CE0B}" name="Operations" totalsRowFunction="sum" dataDxfId="125" totalsRowDxfId="124">
      <calculatedColumnFormula>SUMIFS(operations[Amount],operations[Bank],flow_9[[#This Row],[Bank]],operations[Product],flow_9[[#This Row],[Product]],operations[Month],$B$11)</calculatedColumnFormula>
    </tableColumn>
    <tableColumn id="5" xr3:uid="{499C3189-394D-4EC8-8099-CBE60E9EC8C5}" name="Closing Balance" totalsRowFunction="sum" dataDxfId="123" totalsRowDxfId="122">
      <calculatedColumnFormula>flow_9[[#This Row],[Opening Balance]] + flow_9[[#This Row],[Operations]]</calculatedColumnFormula>
    </tableColumn>
  </tableColumns>
  <tableStyleInfo name="TableStyleMedium3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E80CFE1-6B5C-4949-BB1A-7917ACC29D58}" name="income_9" displayName="income_9" ref="G1:H8" totalsRowCount="1">
  <autoFilter ref="G1:H7" xr:uid="{0551C72E-3558-49EC-BCF0-CC4D9C2229F9}"/>
  <tableColumns count="2">
    <tableColumn id="1" xr3:uid="{4A5347FB-BFF8-45DF-809C-8B02D5AA51E7}" name="Category" totalsRowLabel="Total"/>
    <tableColumn id="2" xr3:uid="{D44C058C-61BF-4822-8615-EAE1BC9693F7}" name="Total" totalsRowFunction="sum" dataDxfId="121" totalsRowDxfId="120">
      <calculatedColumnFormula>SUMIFS(operations[Amount],operations[Category],income_9[[#This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C417F941-80D3-4914-869E-4BE5CFEFF03B}" name="expenses_9" displayName="expenses_9" ref="J1:K11" totalsRowCount="1">
  <autoFilter ref="J1:K10" xr:uid="{2FF9DFF4-146C-4358-A42C-D874B8D13F3C}"/>
  <tableColumns count="2">
    <tableColumn id="1" xr3:uid="{DA3FC34A-5546-4DC4-AE1D-25795AA346BA}" name="Category" totalsRowLabel="Total"/>
    <tableColumn id="2" xr3:uid="{7FF2247F-003F-4EF2-BFAC-3D043BFE953F}" name="Total" totalsRowFunction="sum" dataDxfId="119" totalsRowDxfId="118">
      <calculatedColumnFormula>SUMIFS(operations[Amount],operations[Category],expenses_9[[#This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46E62DE-5ED2-44EB-8704-C3D2A156E5C5}" name="balance_9" displayName="balance_9" ref="A13:B17" totalsRowCount="1" headerRowDxfId="117" dataDxfId="116" totalsRowDxfId="115">
  <autoFilter ref="A13:B16" xr:uid="{26ED251C-704C-492D-B4F0-8A52A22E2F31}"/>
  <tableColumns count="2">
    <tableColumn id="1" xr3:uid="{592F84F2-3635-43E8-A524-DDB7490C8D7E}" name="Type" totalsRowLabel="Total" dataDxfId="114" totalsRowDxfId="113"/>
    <tableColumn id="2" xr3:uid="{323D7EF1-3CE6-453E-B3A4-5A4045EFA1CE}" name="Total" totalsRowFunction="sum" dataDxfId="112" totalsRowDxfId="111">
      <calculatedColumnFormula>SUMIFS(operations[Amount],operations[Month],$B$11,operations[Type],balance_9[[#This Row],[Type]])</calculatedColumnFormula>
    </tableColumn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4BCA4C72-EEF5-4A54-88B6-C9DBB0C9E9B4}" name="flow_10" displayName="flow_10" ref="A1:E9" totalsRowCount="1" headerRowDxfId="110" dataDxfId="109" totalsRowDxfId="108">
  <autoFilter ref="A1:E8" xr:uid="{07B01059-0F39-475C-8CA7-34249CD6C790}"/>
  <tableColumns count="5">
    <tableColumn id="1" xr3:uid="{4CE844CF-D1DB-4218-A9EE-78CAF1C876F0}" name="Bank" totalsRowLabel="Total" dataDxfId="107" totalsRowDxfId="106"/>
    <tableColumn id="2" xr3:uid="{3E5B770E-9F11-4096-A3BA-CB4E5434D98E}" name="Product" dataDxfId="105" totalsRowDxfId="104"/>
    <tableColumn id="3" xr3:uid="{8ED9C192-20B0-48EF-85B8-D2AB7E61FA88}" name="Opening Balance" totalsRowFunction="sum" dataDxfId="103" totalsRowDxfId="102">
      <calculatedColumnFormula array="1">INDIRECT("flow_"&amp;$B$11-1&amp;"[@[Closing Balance]]")</calculatedColumnFormula>
    </tableColumn>
    <tableColumn id="4" xr3:uid="{9A04846A-5770-4122-BFBF-2AFC5D8E8E94}" name="Operations" totalsRowFunction="sum" dataDxfId="101" totalsRowDxfId="100">
      <calculatedColumnFormula>SUMIFS(operations[Amount],operations[Bank],flow_10[[#This Row],[Bank]],operations[Product],flow_10[[#This Row],[Product]],operations[Month],$B$11)</calculatedColumnFormula>
    </tableColumn>
    <tableColumn id="5" xr3:uid="{0B50DB3A-2DCB-4F32-8794-F40740AAFBF6}" name="Closing Balance" totalsRowFunction="sum" dataDxfId="99" totalsRowDxfId="98">
      <calculatedColumnFormula>flow_10[[#This Row],[Opening Balance]] + flow_10[[#This Row],[Operations]]</calculatedColumnFormula>
    </tableColumn>
  </tableColumns>
  <tableStyleInfo name="TableStyleMedium3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8CACBC2-937D-4275-B91F-F56ADD325CC1}" name="income_10" displayName="income_10" ref="G1:H8" totalsRowCount="1">
  <autoFilter ref="G1:H7" xr:uid="{0551C72E-3558-49EC-BCF0-CC4D9C2229F9}"/>
  <tableColumns count="2">
    <tableColumn id="1" xr3:uid="{4F9E8816-569D-4917-8D9B-CE293C87E689}" name="Category" totalsRowLabel="Total"/>
    <tableColumn id="2" xr3:uid="{07CD75D4-F2E2-4043-ADC2-6FC86CF94107}" name="Total" totalsRowFunction="sum" dataDxfId="97" totalsRowDxfId="96">
      <calculatedColumnFormula>SUMIFS(operations[Amount],operations[Category],income_10[[#This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C4F8661A-A7CE-4724-AC59-466CC21E5814}" name="expenses_10" displayName="expenses_10" ref="J1:K11" totalsRowCount="1">
  <autoFilter ref="J1:K10" xr:uid="{2FF9DFF4-146C-4358-A42C-D874B8D13F3C}"/>
  <tableColumns count="2">
    <tableColumn id="1" xr3:uid="{40422235-6FD6-4156-BBA0-B45E5FD24C3B}" name="Category" totalsRowLabel="Total"/>
    <tableColumn id="2" xr3:uid="{24A1D2B9-776D-4318-9808-3692B2B828EB}" name="Total" totalsRowFunction="sum" dataDxfId="95" totalsRowDxfId="94">
      <calculatedColumnFormula>SUMIFS(operations[Amount],operations[Category],expenses_10[[#This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7EA1B43B-AB9F-4FB2-AFDE-5B3236160054}" name="balance_10" displayName="balance_10" ref="A13:B17" totalsRowCount="1" headerRowDxfId="93" dataDxfId="92" totalsRowDxfId="91">
  <autoFilter ref="A13:B16" xr:uid="{26ED251C-704C-492D-B4F0-8A52A22E2F31}"/>
  <tableColumns count="2">
    <tableColumn id="1" xr3:uid="{E5DE0EF6-2AED-4B5D-927D-A31EF0058141}" name="Type" totalsRowLabel="Total" dataDxfId="90" totalsRowDxfId="89"/>
    <tableColumn id="2" xr3:uid="{A70EE43F-3ABE-451E-BFDC-9B1CDDFA721A}" name="Total" totalsRowFunction="sum" dataDxfId="88" totalsRowDxfId="87">
      <calculatedColumnFormula>SUMIFS(operations[Amount],operations[Month],$B$11,operations[Type],balance_10[[#This Row],[Type]])</calculatedColumnFormula>
    </tableColumn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A1CE5D47-DAFC-4118-B5B0-1575FEFEBBE2}" name="flow_11" displayName="flow_11" ref="A1:E9" totalsRowCount="1" headerRowDxfId="86" dataDxfId="85" totalsRowDxfId="84">
  <autoFilter ref="A1:E8" xr:uid="{07B01059-0F39-475C-8CA7-34249CD6C790}"/>
  <tableColumns count="5">
    <tableColumn id="1" xr3:uid="{4ACA3E4E-8505-4F19-BD7A-0A3CB954603D}" name="Bank" totalsRowLabel="Total" dataDxfId="83" totalsRowDxfId="82"/>
    <tableColumn id="2" xr3:uid="{9EFD6780-BFFD-4028-BE8D-4383A217E7FD}" name="Product" dataDxfId="81" totalsRowDxfId="80"/>
    <tableColumn id="3" xr3:uid="{9B74529B-FED0-4776-94E4-B5EBF29D836C}" name="Opening Balance" totalsRowFunction="sum" dataDxfId="79" totalsRowDxfId="78">
      <calculatedColumnFormula array="1">INDIRECT("flow_"&amp;$B$11-1&amp;"[@[Closing Balance]]")</calculatedColumnFormula>
    </tableColumn>
    <tableColumn id="4" xr3:uid="{D03F0C2E-4EA7-4FDC-91DA-623D332D3538}" name="Operations" totalsRowFunction="sum" dataDxfId="77" totalsRowDxfId="76">
      <calculatedColumnFormula>SUMIFS(operations[Amount],operations[Bank],flow_11[[#This Row],[Bank]],operations[Product],flow_11[[#This Row],[Product]],operations[Month],$B$11)</calculatedColumnFormula>
    </tableColumn>
    <tableColumn id="5" xr3:uid="{8613B1CA-8CE3-49F8-89FA-1A0CFBEB2858}" name="Closing Balance" totalsRowFunction="sum" dataDxfId="75" totalsRowDxfId="74">
      <calculatedColumnFormula>flow_11[[#This Row],[Opening Balance]] + flow_11[[#This Row],[Operations]]</calculatedColumnFormula>
    </tableColumn>
  </tableColumns>
  <tableStyleInfo name="TableStyleMedium3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DBB0C608-96D3-4775-AD8E-FE1DDDEF58F7}" name="income_11" displayName="income_11" ref="G1:H8" totalsRowCount="1">
  <autoFilter ref="G1:H7" xr:uid="{0551C72E-3558-49EC-BCF0-CC4D9C2229F9}"/>
  <tableColumns count="2">
    <tableColumn id="1" xr3:uid="{0B87805D-FAF7-4AD4-9920-CBF5DDA0AE9F}" name="Category" totalsRowLabel="Total"/>
    <tableColumn id="2" xr3:uid="{3D5A606A-933C-4262-9093-5A134B7C8366}" name="Total" totalsRowFunction="sum" dataDxfId="73" totalsRowDxfId="72">
      <calculatedColumnFormula>SUMIFS(operations[Amount],operations[Category],income_11[[#This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98F9C17F-C04F-4339-8BC6-2135134F77AF}" name="expenses_11" displayName="expenses_11" ref="J1:K11" totalsRowCount="1">
  <autoFilter ref="J1:K10" xr:uid="{2FF9DFF4-146C-4358-A42C-D874B8D13F3C}"/>
  <tableColumns count="2">
    <tableColumn id="1" xr3:uid="{6C963695-AE59-4D1D-9046-FDE7044B83B5}" name="Category" totalsRowLabel="Total"/>
    <tableColumn id="2" xr3:uid="{27CA95ED-9B77-426F-8AB9-713B6C60E254}" name="Total" totalsRowFunction="sum" dataDxfId="71" totalsRowDxfId="70">
      <calculatedColumnFormula>SUMIFS(operations[Amount],operations[Category],expenses_11[[#This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2755B22-4787-4AD0-B906-180DEBD168CF}" name="balance_11" displayName="balance_11" ref="A13:B17" totalsRowCount="1" headerRowDxfId="69" dataDxfId="68" totalsRowDxfId="67">
  <autoFilter ref="A13:B16" xr:uid="{26ED251C-704C-492D-B4F0-8A52A22E2F31}"/>
  <tableColumns count="2">
    <tableColumn id="1" xr3:uid="{5002658B-4D5D-4E49-B790-054157DA4E49}" name="Type" totalsRowLabel="Total" dataDxfId="66" totalsRowDxfId="65"/>
    <tableColumn id="2" xr3:uid="{81059228-59DB-4E34-84F4-24618FFAA795}" name="Total" totalsRowFunction="sum" dataDxfId="64" totalsRowDxfId="63">
      <calculatedColumnFormula>SUMIFS(operations[Amount],operations[Month],$B$11,operations[Type],balance_11[[#This Row],[Type]])</calculatedColumnFormula>
    </tableColumn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9124C71-FD72-495D-BD3C-E58638A93A8D}" name="flow_12" displayName="flow_12" ref="A1:E9" totalsRowCount="1" headerRowDxfId="62" dataDxfId="61" totalsRowDxfId="60">
  <autoFilter ref="A1:E8" xr:uid="{07B01059-0F39-475C-8CA7-34249CD6C790}"/>
  <tableColumns count="5">
    <tableColumn id="1" xr3:uid="{4569CB4C-DDCE-4642-BA47-20156D77DE2F}" name="Bank" totalsRowLabel="Total" dataDxfId="59" totalsRowDxfId="58"/>
    <tableColumn id="2" xr3:uid="{D0490644-E0A1-46B5-8911-B3B074BC460E}" name="Product" dataDxfId="57" totalsRowDxfId="56"/>
    <tableColumn id="3" xr3:uid="{57D75F3C-CA1C-4F42-A00F-FCFC1FB099C3}" name="Opening Balance" totalsRowFunction="sum" dataDxfId="55" totalsRowDxfId="54">
      <calculatedColumnFormula array="1">INDIRECT("flow_"&amp;$B$11-1&amp;"[@[Closing Balance]]")</calculatedColumnFormula>
    </tableColumn>
    <tableColumn id="4" xr3:uid="{F5C371B9-8117-423B-9D24-795D675A93BB}" name="Operations" totalsRowFunction="sum" dataDxfId="53" totalsRowDxfId="52">
      <calculatedColumnFormula>SUMIFS(operations[Amount],operations[Bank],flow_12[[#This Row],[Bank]],operations[Product],flow_12[[#This Row],[Product]],operations[Month],$B$11)</calculatedColumnFormula>
    </tableColumn>
    <tableColumn id="5" xr3:uid="{4FDCACDC-4EAD-4CA4-B14A-DFF692548ACE}" name="Closing Balance" totalsRowFunction="sum" dataDxfId="51" totalsRowDxfId="50">
      <calculatedColumnFormula>flow_12[[#This Row],[Opening Balance]] + flow_12[[#This Row],[Operations]]</calculatedColumnFormula>
    </tableColumn>
  </tableColumns>
  <tableStyleInfo name="TableStyleMedium3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A55D2BF7-9C2A-421F-B2F3-B7874899D8D9}" name="income_12" displayName="income_12" ref="G1:H8" totalsRowCount="1">
  <autoFilter ref="G1:H7" xr:uid="{0551C72E-3558-49EC-BCF0-CC4D9C2229F9}"/>
  <tableColumns count="2">
    <tableColumn id="1" xr3:uid="{237B240B-B833-45FE-A47E-33827A04FDE8}" name="Category" totalsRowLabel="Total"/>
    <tableColumn id="2" xr3:uid="{20855A04-C32B-4AB7-8D47-15555C7BD863}" name="Total" totalsRowFunction="sum" dataDxfId="49" totalsRowDxfId="48">
      <calculatedColumnFormula>SUMIFS(operations[Amount],operations[Category],income_12[[#This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8764215-E356-48B1-A792-7FD6931267E1}" name="expenses_12" displayName="expenses_12" ref="J1:K11" totalsRowCount="1">
  <autoFilter ref="J1:K10" xr:uid="{2FF9DFF4-146C-4358-A42C-D874B8D13F3C}"/>
  <tableColumns count="2">
    <tableColumn id="1" xr3:uid="{05DD612A-BA80-4916-ADB4-656C885AA6CF}" name="Category" totalsRowLabel="Total"/>
    <tableColumn id="2" xr3:uid="{01864655-EAA9-402E-B02F-8FE6C5D2E643}" name="Total" totalsRowFunction="sum" dataDxfId="47" totalsRowDxfId="46">
      <calculatedColumnFormula>SUMIFS(operations[Amount],operations[Category],expenses_12[[#This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625C4DA8-EDE3-4B2A-8C88-38DF5AB29718}" name="balance_12" displayName="balance_12" ref="A13:B17" totalsRowCount="1" headerRowDxfId="45" dataDxfId="44" totalsRowDxfId="43">
  <autoFilter ref="A13:B16" xr:uid="{26ED251C-704C-492D-B4F0-8A52A22E2F31}"/>
  <tableColumns count="2">
    <tableColumn id="1" xr3:uid="{0362B2CC-3FA1-4FC7-873B-AC02737942BE}" name="Type" totalsRowLabel="Total" dataDxfId="42" totalsRowDxfId="41"/>
    <tableColumn id="2" xr3:uid="{6A774417-7819-4F55-B386-5EEB93E4F11C}" name="Total" totalsRowFunction="sum" dataDxfId="40" totalsRowDxfId="39">
      <calculatedColumnFormula>SUMIFS(operations[Amount],operations[Month],$B$11,operations[Type],balance_12[[#This Row],[Type]])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755AA40C-204D-473C-9A58-1E0D8A0268EC}" name="summary1" displayName="summary1" ref="A1:O18" totalsRowCount="1">
  <autoFilter ref="A1:O17" xr:uid="{755AA40C-204D-473C-9A58-1E0D8A0268EC}"/>
  <tableColumns count="15">
    <tableColumn id="1" xr3:uid="{28E67313-CC61-4A7A-813D-6A94E2C75F33}" name="Category" totalsRowLabel="Suma"/>
    <tableColumn id="2" xr3:uid="{96EF7BE1-9063-4ECC-9545-B2194423504E}" name="Type"/>
    <tableColumn id="3" xr3:uid="{F394E35D-088D-4774-9135-1B99D7D50B7D}" name="1" totalsRowFunction="sum" dataDxfId="38" totalsRowDxfId="37">
      <calculatedColumnFormula array="1">SUMIFS(operations[[Amount]:[Amount]], operations[[Category]:[Category]],summary1[[#This Row],[Category]:[Category]],operations[[Month]:[Month]],summary1[[#Headers],[1]])</calculatedColumnFormula>
    </tableColumn>
    <tableColumn id="4" xr3:uid="{AFF5AA59-0FE5-4A17-9A09-B2508C4E0F18}" name="2" totalsRowFunction="sum" dataDxfId="36" totalsRowDxfId="35">
      <calculatedColumnFormula array="1">SUMIFS(operations[[Amount]:[Amount]], operations[[Category]:[Category]],summary1[[#This Row],[Category]:[Category]],operations[[Month]:[Month]],summary1[[#Headers],[2]])</calculatedColumnFormula>
    </tableColumn>
    <tableColumn id="5" xr3:uid="{CD2CBAAE-65BB-44DB-98E8-ACE08512EAFE}" name="3" totalsRowFunction="sum" dataDxfId="34" totalsRowDxfId="33">
      <calculatedColumnFormula array="1">SUMIFS(operations[[Amount]:[Amount]], operations[[Category]:[Category]],summary1[[#This Row],[Category]:[Category]],operations[[Month]:[Month]],summary1[[#Headers],[3]])</calculatedColumnFormula>
    </tableColumn>
    <tableColumn id="6" xr3:uid="{75239028-A8D0-4E57-B0FF-7BF43E3348E5}" name="4" totalsRowFunction="sum" dataDxfId="32" totalsRowDxfId="31">
      <calculatedColumnFormula array="1">SUMIFS(operations[[Amount]:[Amount]], operations[[Category]:[Category]],summary1[[#This Row],[Category]:[Category]],operations[[Month]:[Month]],summary1[[#Headers],[4]])</calculatedColumnFormula>
    </tableColumn>
    <tableColumn id="7" xr3:uid="{F367FCAA-79F9-402A-87B7-DF36C880FE94}" name="5" totalsRowFunction="sum" dataDxfId="30" totalsRowDxfId="29">
      <calculatedColumnFormula array="1">SUMIFS(operations[[Amount]:[Amount]], operations[[Category]:[Category]],summary1[[#This Row],[Category]:[Category]],operations[[Month]:[Month]],summary1[[#Headers],[5]])</calculatedColumnFormula>
    </tableColumn>
    <tableColumn id="8" xr3:uid="{13B89927-3995-4A0C-A1A3-4EF1236691CC}" name="6" totalsRowFunction="sum" dataDxfId="28" totalsRowDxfId="27">
      <calculatedColumnFormula array="1">SUMIFS(operations[[Amount]:[Amount]], operations[[Category]:[Category]],summary1[[#This Row],[Category]:[Category]],operations[[Month]:[Month]],summary1[[#Headers],[6]])</calculatedColumnFormula>
    </tableColumn>
    <tableColumn id="9" xr3:uid="{F850307F-BEDF-49C8-91AA-931C2FD36A3E}" name="7" totalsRowFunction="sum" dataDxfId="26" totalsRowDxfId="25">
      <calculatedColumnFormula array="1">SUMIFS(operations[[Amount]:[Amount]], operations[[Category]:[Category]],summary1[[#This Row],[Category]:[Category]],operations[[Month]:[Month]],summary1[[#Headers],[7]])</calculatedColumnFormula>
    </tableColumn>
    <tableColumn id="10" xr3:uid="{D550686E-6F97-48AF-8BB8-24C792A1DCD5}" name="8" totalsRowFunction="sum" dataDxfId="24" totalsRowDxfId="23">
      <calculatedColumnFormula array="1">SUMIFS(operations[[Amount]:[Amount]], operations[[Category]:[Category]],summary1[[#This Row],[Category]:[Category]],operations[[Month]:[Month]],summary1[[#Headers],[8]])</calculatedColumnFormula>
    </tableColumn>
    <tableColumn id="11" xr3:uid="{A5077CD8-B7F7-4EB2-8931-CA4E0B75814E}" name="9" totalsRowFunction="sum" dataDxfId="22" totalsRowDxfId="21">
      <calculatedColumnFormula array="1">SUMIFS(operations[[Amount]:[Amount]], operations[[Category]:[Category]],summary1[[#This Row],[Category]:[Category]],operations[[Month]:[Month]],summary1[[#Headers],[9]])</calculatedColumnFormula>
    </tableColumn>
    <tableColumn id="12" xr3:uid="{8C3D57ED-CC79-4C93-B3A6-B23B011F03D5}" name="10" totalsRowFunction="sum" dataDxfId="20" totalsRowDxfId="19">
      <calculatedColumnFormula array="1">SUMIFS(operations[[Amount]:[Amount]], operations[[Category]:[Category]],summary1[[#This Row],[Category]:[Category]],operations[[Month]:[Month]],summary1[[#Headers],[10]])</calculatedColumnFormula>
    </tableColumn>
    <tableColumn id="13" xr3:uid="{F8CD912E-17A3-496A-8E93-E60973F3CFC0}" name="11" totalsRowFunction="sum" dataDxfId="18" totalsRowDxfId="17">
      <calculatedColumnFormula array="1">SUMIFS(operations[[Amount]:[Amount]], operations[[Category]:[Category]],summary1[[#This Row],[Category]:[Category]],operations[[Month]:[Month]],summary1[[#Headers],[11]])</calculatedColumnFormula>
    </tableColumn>
    <tableColumn id="14" xr3:uid="{307BE7A5-764C-48DB-B06D-E510DE623261}" name="12" totalsRowFunction="sum" dataDxfId="16" totalsRowDxfId="15">
      <calculatedColumnFormula array="1">SUMIFS(operations[[Amount]:[Amount]], operations[[Category]:[Category]],summary1[[#This Row],[Category]:[Category]],operations[[Month]:[Month]],summary1[[#Headers],[12]])</calculatedColumnFormula>
    </tableColumn>
    <tableColumn id="15" xr3:uid="{8294A0F5-103A-422D-8356-AAB234AE4629}" name="Total" totalsRowFunction="sum" dataDxfId="14" totalsRowDxfId="13">
      <calculatedColumnFormula>SUM(summary1[[#This Row],[2]:[12]])</calculatedColumnFormula>
    </tableColumn>
  </tableColumns>
  <tableStyleInfo name="TableStyleMedium4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3EE8D0C3-9B26-4BEF-BB90-F9D362B87624}" name="summary2" displayName="summary2" ref="A1:O21" totalsRowShown="0">
  <autoFilter ref="A1:O21" xr:uid="{3EE8D0C3-9B26-4BEF-BB90-F9D362B87624}"/>
  <tableColumns count="15">
    <tableColumn id="1" xr3:uid="{B15200CA-1E3F-42BD-BE7E-9A034A079560}" name="Category"/>
    <tableColumn id="2" xr3:uid="{92954442-42EA-42FE-9C11-616C8C7B891C}" name="Type"/>
    <tableColumn id="3" xr3:uid="{26B3B9E1-6DE6-47EA-821F-00B0DEC9770B}" name="1" dataDxfId="12"/>
    <tableColumn id="4" xr3:uid="{932DCCEA-806F-4A40-934C-C9F95C8856E2}" name="2" dataDxfId="11"/>
    <tableColumn id="5" xr3:uid="{B3AFBD1E-9EE4-4857-8033-406B941E92B2}" name="3" dataDxfId="10"/>
    <tableColumn id="6" xr3:uid="{B65E6367-45D0-4B85-9B79-9A7C7609E062}" name="4" dataDxfId="9"/>
    <tableColumn id="7" xr3:uid="{68CB20DD-ADB8-49DE-837D-81998392FB86}" name="5" dataDxfId="8"/>
    <tableColumn id="8" xr3:uid="{552FC17A-4BB6-4543-8A5C-753E7B6894F2}" name="6" dataDxfId="7"/>
    <tableColumn id="9" xr3:uid="{AE3331DF-BCC1-429D-B61F-27CAC74852C3}" name="7" dataDxfId="6"/>
    <tableColumn id="10" xr3:uid="{3FEE9373-4ED5-4ABA-8932-E31D6FD05684}" name="8" dataDxfId="5"/>
    <tableColumn id="11" xr3:uid="{859D6A5B-4A78-4614-95FE-7FBABC64A0BF}" name="9" dataDxfId="4"/>
    <tableColumn id="12" xr3:uid="{5461FAC5-80FE-4ABA-8B67-AC93DE542A7B}" name="10" dataDxfId="3"/>
    <tableColumn id="13" xr3:uid="{E90E94BF-58B3-45BA-A995-B7514119D497}" name="11" dataDxfId="2"/>
    <tableColumn id="14" xr3:uid="{BB958858-B2FF-4DFE-BBE6-5011C34350B5}" name="12" dataDxfId="1"/>
    <tableColumn id="15" xr3:uid="{8937B63B-C937-4327-A6E0-0697114C7862}" name="Total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4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4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4" Type="http://schemas.openxmlformats.org/officeDocument/2006/relationships/table" Target="../tables/table1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Relationship Id="rId4" Type="http://schemas.openxmlformats.org/officeDocument/2006/relationships/table" Target="../tables/table2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Relationship Id="rId4" Type="http://schemas.openxmlformats.org/officeDocument/2006/relationships/table" Target="../tables/table2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Relationship Id="rId4" Type="http://schemas.openxmlformats.org/officeDocument/2006/relationships/table" Target="../tables/table3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Relationship Id="rId4" Type="http://schemas.openxmlformats.org/officeDocument/2006/relationships/table" Target="../tables/table3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table" Target="../tables/table37.xml"/><Relationship Id="rId1" Type="http://schemas.openxmlformats.org/officeDocument/2006/relationships/table" Target="../tables/table36.xml"/><Relationship Id="rId4" Type="http://schemas.openxmlformats.org/officeDocument/2006/relationships/table" Target="../tables/table3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table" Target="../tables/table40.xml"/><Relationship Id="rId4" Type="http://schemas.openxmlformats.org/officeDocument/2006/relationships/table" Target="../tables/table4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table" Target="../tables/table45.xml"/><Relationship Id="rId1" Type="http://schemas.openxmlformats.org/officeDocument/2006/relationships/table" Target="../tables/table44.xml"/><Relationship Id="rId4" Type="http://schemas.openxmlformats.org/officeDocument/2006/relationships/table" Target="../tables/table4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2" Type="http://schemas.openxmlformats.org/officeDocument/2006/relationships/table" Target="../tables/table49.xml"/><Relationship Id="rId1" Type="http://schemas.openxmlformats.org/officeDocument/2006/relationships/table" Target="../tables/table48.xml"/><Relationship Id="rId4" Type="http://schemas.openxmlformats.org/officeDocument/2006/relationships/table" Target="../tables/table5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2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88A7-DAB1-42D9-B922-F4F1D0A14666}">
  <dimension ref="A1:J17"/>
  <sheetViews>
    <sheetView workbookViewId="0">
      <selection activeCell="E15" sqref="E15"/>
    </sheetView>
  </sheetViews>
  <sheetFormatPr defaultColWidth="8.85546875" defaultRowHeight="15" x14ac:dyDescent="0.25"/>
  <cols>
    <col min="1" max="1" width="18.28515625" customWidth="1"/>
    <col min="5" max="5" width="10.7109375" bestFit="1" customWidth="1"/>
    <col min="6" max="6" width="18.42578125" bestFit="1" customWidth="1"/>
    <col min="8" max="8" width="14.28515625" customWidth="1"/>
    <col min="9" max="9" width="19.5703125" customWidth="1"/>
    <col min="10" max="10" width="13.28515625" customWidth="1"/>
  </cols>
  <sheetData>
    <row r="1" spans="1:10" x14ac:dyDescent="0.25">
      <c r="A1" t="s">
        <v>3</v>
      </c>
      <c r="B1" t="s">
        <v>4</v>
      </c>
      <c r="E1" s="1" t="s">
        <v>1</v>
      </c>
      <c r="F1" s="1" t="s">
        <v>2</v>
      </c>
      <c r="H1" s="4" t="s">
        <v>12</v>
      </c>
      <c r="I1" s="4" t="s">
        <v>7</v>
      </c>
      <c r="J1" s="5" t="s">
        <v>24</v>
      </c>
    </row>
    <row r="2" spans="1:10" x14ac:dyDescent="0.25">
      <c r="A2" s="1" t="s">
        <v>11</v>
      </c>
      <c r="B2" t="s">
        <v>32</v>
      </c>
      <c r="E2" s="1" t="s">
        <v>12</v>
      </c>
      <c r="F2" s="1" t="s">
        <v>8</v>
      </c>
      <c r="H2" s="4" t="s">
        <v>8</v>
      </c>
      <c r="I2" s="4" t="s">
        <v>8</v>
      </c>
      <c r="J2" s="5" t="s">
        <v>25</v>
      </c>
    </row>
    <row r="3" spans="1:10" x14ac:dyDescent="0.25">
      <c r="A3" s="1" t="s">
        <v>22</v>
      </c>
      <c r="B3" t="s">
        <v>32</v>
      </c>
      <c r="E3" s="1" t="s">
        <v>12</v>
      </c>
      <c r="F3" s="1" t="s">
        <v>18</v>
      </c>
      <c r="H3" s="5" t="s">
        <v>18</v>
      </c>
      <c r="I3" s="5" t="s">
        <v>13</v>
      </c>
      <c r="J3" s="4" t="s">
        <v>26</v>
      </c>
    </row>
    <row r="4" spans="1:10" x14ac:dyDescent="0.25">
      <c r="A4" s="1" t="s">
        <v>20</v>
      </c>
      <c r="B4" t="s">
        <v>32</v>
      </c>
      <c r="E4" s="1" t="s">
        <v>7</v>
      </c>
      <c r="F4" s="1" t="s">
        <v>8</v>
      </c>
      <c r="H4" s="6"/>
      <c r="I4" s="4"/>
      <c r="J4" s="6"/>
    </row>
    <row r="5" spans="1:10" x14ac:dyDescent="0.25">
      <c r="A5" s="1" t="s">
        <v>9</v>
      </c>
      <c r="B5" t="s">
        <v>32</v>
      </c>
      <c r="E5" s="1" t="s">
        <v>7</v>
      </c>
      <c r="F5" s="1" t="s">
        <v>13</v>
      </c>
      <c r="H5" s="7"/>
      <c r="I5" s="7"/>
      <c r="J5" s="7"/>
    </row>
    <row r="6" spans="1:10" x14ac:dyDescent="0.25">
      <c r="A6" s="1" t="s">
        <v>28</v>
      </c>
      <c r="B6" t="s">
        <v>32</v>
      </c>
      <c r="E6" s="1" t="s">
        <v>7</v>
      </c>
      <c r="F6" s="1" t="s">
        <v>16</v>
      </c>
      <c r="H6" s="7"/>
      <c r="I6" s="7"/>
      <c r="J6" s="7"/>
    </row>
    <row r="7" spans="1:10" x14ac:dyDescent="0.25">
      <c r="A7" s="1" t="s">
        <v>14</v>
      </c>
      <c r="B7" t="s">
        <v>32</v>
      </c>
      <c r="E7" s="1" t="s">
        <v>24</v>
      </c>
      <c r="F7" s="1" t="s">
        <v>25</v>
      </c>
      <c r="H7" s="7"/>
      <c r="I7" s="7" t="s">
        <v>16</v>
      </c>
      <c r="J7" s="7"/>
    </row>
    <row r="8" spans="1:10" x14ac:dyDescent="0.25">
      <c r="A8" s="1" t="s">
        <v>17</v>
      </c>
      <c r="B8" t="s">
        <v>32</v>
      </c>
      <c r="E8" s="1" t="s">
        <v>24</v>
      </c>
      <c r="F8" s="1" t="s">
        <v>26</v>
      </c>
    </row>
    <row r="9" spans="1:10" x14ac:dyDescent="0.25">
      <c r="A9" s="1" t="s">
        <v>23</v>
      </c>
      <c r="B9" t="s">
        <v>32</v>
      </c>
    </row>
    <row r="10" spans="1:10" x14ac:dyDescent="0.25">
      <c r="A10" s="1" t="s">
        <v>21</v>
      </c>
      <c r="B10" t="s">
        <v>32</v>
      </c>
    </row>
    <row r="11" spans="1:10" x14ac:dyDescent="0.25">
      <c r="A11" s="1" t="s">
        <v>19</v>
      </c>
      <c r="B11" t="s">
        <v>33</v>
      </c>
    </row>
    <row r="12" spans="1:10" x14ac:dyDescent="0.25">
      <c r="A12" s="1" t="s">
        <v>27</v>
      </c>
      <c r="B12" t="s">
        <v>33</v>
      </c>
    </row>
    <row r="13" spans="1:10" x14ac:dyDescent="0.25">
      <c r="A13" s="1" t="s">
        <v>30</v>
      </c>
      <c r="B13" t="s">
        <v>33</v>
      </c>
    </row>
    <row r="14" spans="1:10" x14ac:dyDescent="0.25">
      <c r="A14" s="1" t="s">
        <v>15</v>
      </c>
      <c r="B14" t="s">
        <v>33</v>
      </c>
    </row>
    <row r="15" spans="1:10" x14ac:dyDescent="0.25">
      <c r="A15" s="1" t="s">
        <v>10</v>
      </c>
      <c r="B15" t="s">
        <v>33</v>
      </c>
    </row>
    <row r="16" spans="1:10" x14ac:dyDescent="0.25">
      <c r="A16" s="1" t="s">
        <v>31</v>
      </c>
      <c r="B16" t="s">
        <v>33</v>
      </c>
    </row>
    <row r="17" spans="1:2" x14ac:dyDescent="0.25">
      <c r="A17" s="1" t="s">
        <v>29</v>
      </c>
      <c r="B17" t="s">
        <v>34</v>
      </c>
    </row>
  </sheetData>
  <sortState xmlns:xlrd2="http://schemas.microsoft.com/office/spreadsheetml/2017/richdata2" ref="A2:B206">
    <sortCondition ref="A2:A206"/>
  </sortState>
  <dataValidations count="1">
    <dataValidation type="list" allowBlank="1" showInputMessage="1" showErrorMessage="1" sqref="B2:B17" xr:uid="{753E6F70-553A-4524-979C-452CC93ABAD0}">
      <formula1>"Income, expense, transfer"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8"/>
  <sheetViews>
    <sheetView workbookViewId="0">
      <selection activeCell="J187" sqref="J187"/>
    </sheetView>
  </sheetViews>
  <sheetFormatPr defaultColWidth="8.85546875" defaultRowHeight="15" x14ac:dyDescent="0.25"/>
  <cols>
    <col min="1" max="1" width="11.85546875" bestFit="1" customWidth="1"/>
    <col min="2" max="2" width="10.7109375" bestFit="1" customWidth="1"/>
    <col min="3" max="3" width="18.42578125" bestFit="1" customWidth="1"/>
    <col min="4" max="4" width="16" bestFit="1" customWidth="1"/>
    <col min="5" max="5" width="10.140625" customWidth="1"/>
    <col min="6" max="6" width="11.28515625" bestFit="1" customWidth="1"/>
    <col min="7" max="7" width="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9</v>
      </c>
      <c r="E2" s="1" t="str">
        <f>_xlfn.XLOOKUP(operations[[#This Row],[Category]], categories[Category], categories[Type], " ", 0, 1)</f>
        <v>expense</v>
      </c>
      <c r="F2" s="3">
        <v>45296</v>
      </c>
      <c r="G2" s="1">
        <f>MONTH(operations[[#This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10</v>
      </c>
      <c r="E3" s="1" t="str">
        <f>_xlfn.XLOOKUP(operations[[#This Row],[Category]], categories[Category], categories[Type], " ", 0, 1)</f>
        <v>Income</v>
      </c>
      <c r="F3" s="3">
        <v>45301</v>
      </c>
      <c r="G3" s="1">
        <f>MONTH(operations[[#This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11</v>
      </c>
      <c r="E4" s="1" t="str">
        <f>_xlfn.XLOOKUP(operations[[#This Row],[Category]], categories[Category], categories[Type], " ", 0, 1)</f>
        <v>expense</v>
      </c>
      <c r="F4" s="3">
        <v>45302</v>
      </c>
      <c r="G4" s="1">
        <f>MONTH(operations[[#This Row],[Date]])</f>
        <v>1</v>
      </c>
    </row>
    <row r="5" spans="1:7" x14ac:dyDescent="0.25">
      <c r="A5" s="2">
        <v>-45</v>
      </c>
      <c r="B5" s="1" t="s">
        <v>12</v>
      </c>
      <c r="C5" s="1" t="s">
        <v>8</v>
      </c>
      <c r="D5" s="1" t="s">
        <v>9</v>
      </c>
      <c r="E5" s="1" t="str">
        <f>_xlfn.XLOOKUP(operations[[#This Row],[Category]], categories[Category], categories[Type], " ", 0, 1)</f>
        <v>expense</v>
      </c>
      <c r="F5" s="3">
        <v>45305</v>
      </c>
      <c r="G5" s="1">
        <f>MONTH(operations[[#This Row],[Date]])</f>
        <v>1</v>
      </c>
    </row>
    <row r="6" spans="1:7" x14ac:dyDescent="0.25">
      <c r="A6" s="2">
        <v>-150</v>
      </c>
      <c r="B6" s="1" t="s">
        <v>7</v>
      </c>
      <c r="C6" s="1" t="s">
        <v>13</v>
      </c>
      <c r="D6" s="1" t="s">
        <v>14</v>
      </c>
      <c r="E6" s="1" t="str">
        <f>_xlfn.XLOOKUP(operations[[#This Row],[Category]], categories[Category], categories[Type], " ", 0, 1)</f>
        <v>expense</v>
      </c>
      <c r="F6" s="3">
        <v>45306</v>
      </c>
      <c r="G6" s="1">
        <f>MONTH(operations[[#This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9</v>
      </c>
      <c r="E7" s="1" t="str">
        <f>_xlfn.XLOOKUP(operations[[#This Row],[Category]], categories[Category], categories[Type], " ", 0, 1)</f>
        <v>expense</v>
      </c>
      <c r="F7" s="3">
        <v>45307</v>
      </c>
      <c r="G7" s="1">
        <f>MONTH(operations[[#This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15</v>
      </c>
      <c r="E8" s="1" t="str">
        <f>_xlfn.XLOOKUP(operations[[#This Row],[Category]], categories[Category], categories[Type], " ", 0, 1)</f>
        <v>Income</v>
      </c>
      <c r="F8" s="3">
        <v>45308</v>
      </c>
      <c r="G8" s="1">
        <f>MONTH(operations[[#This Row],[Date]])</f>
        <v>1</v>
      </c>
    </row>
    <row r="9" spans="1:7" x14ac:dyDescent="0.25">
      <c r="A9" s="2">
        <v>-500</v>
      </c>
      <c r="B9" s="1" t="s">
        <v>7</v>
      </c>
      <c r="C9" s="1" t="s">
        <v>16</v>
      </c>
      <c r="D9" s="1" t="s">
        <v>17</v>
      </c>
      <c r="E9" s="1" t="str">
        <f>_xlfn.XLOOKUP(operations[[#This Row],[Category]], categories[Category], categories[Type], " ", 0, 1)</f>
        <v>expense</v>
      </c>
      <c r="F9" s="3">
        <v>45308</v>
      </c>
      <c r="G9" s="1">
        <f>MONTH(operations[[#This Row],[Date]])</f>
        <v>1</v>
      </c>
    </row>
    <row r="10" spans="1:7" x14ac:dyDescent="0.25">
      <c r="A10" s="2">
        <v>250</v>
      </c>
      <c r="B10" s="1" t="s">
        <v>12</v>
      </c>
      <c r="C10" s="1" t="s">
        <v>18</v>
      </c>
      <c r="D10" s="1" t="s">
        <v>19</v>
      </c>
      <c r="E10" s="1" t="str">
        <f>_xlfn.XLOOKUP(operations[[#This Row],[Category]], categories[Category], categories[Type], " ", 0, 1)</f>
        <v>Income</v>
      </c>
      <c r="F10" s="3">
        <v>45308</v>
      </c>
      <c r="G10" s="1">
        <f>MONTH(operations[[#This Row],[Date]])</f>
        <v>1</v>
      </c>
    </row>
    <row r="11" spans="1:7" x14ac:dyDescent="0.25">
      <c r="A11" s="2">
        <v>-25</v>
      </c>
      <c r="B11" s="1" t="s">
        <v>7</v>
      </c>
      <c r="C11" s="1" t="s">
        <v>13</v>
      </c>
      <c r="D11" s="1" t="s">
        <v>20</v>
      </c>
      <c r="E11" s="1" t="str">
        <f>_xlfn.XLOOKUP(operations[[#This Row],[Category]], categories[Category], categories[Type], " ", 0, 1)</f>
        <v>expense</v>
      </c>
      <c r="F11" s="3">
        <v>45310</v>
      </c>
      <c r="G11" s="1">
        <f>MONTH(operations[[#This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21</v>
      </c>
      <c r="E12" s="1" t="str">
        <f>_xlfn.XLOOKUP(operations[[#This Row],[Category]], categories[Category], categories[Type], " ", 0, 1)</f>
        <v>expense</v>
      </c>
      <c r="F12" s="3">
        <v>45311</v>
      </c>
      <c r="G12" s="1">
        <f>MONTH(operations[[#This Row],[Date]])</f>
        <v>1</v>
      </c>
    </row>
    <row r="13" spans="1:7" x14ac:dyDescent="0.25">
      <c r="A13" s="2">
        <v>150</v>
      </c>
      <c r="B13" s="1" t="s">
        <v>12</v>
      </c>
      <c r="C13" s="1" t="s">
        <v>8</v>
      </c>
      <c r="D13" s="1" t="s">
        <v>15</v>
      </c>
      <c r="E13" s="1" t="str">
        <f>_xlfn.XLOOKUP(operations[[#This Row],[Category]], categories[Category], categories[Type], " ", 0, 1)</f>
        <v>Income</v>
      </c>
      <c r="F13" s="3">
        <v>45312</v>
      </c>
      <c r="G13" s="1">
        <f>MONTH(operations[[#This Row],[Date]])</f>
        <v>1</v>
      </c>
    </row>
    <row r="14" spans="1:7" x14ac:dyDescent="0.25">
      <c r="A14" s="2">
        <v>-80</v>
      </c>
      <c r="B14" s="1" t="s">
        <v>12</v>
      </c>
      <c r="C14" s="1" t="s">
        <v>8</v>
      </c>
      <c r="D14" s="1" t="s">
        <v>22</v>
      </c>
      <c r="E14" s="1" t="str">
        <f>_xlfn.XLOOKUP(operations[[#This Row],[Category]], categories[Category], categories[Type], " ", 0, 1)</f>
        <v>expense</v>
      </c>
      <c r="F14" s="3">
        <v>45313</v>
      </c>
      <c r="G14" s="1">
        <f>MONTH(operations[[#This Row],[Date]])</f>
        <v>1</v>
      </c>
    </row>
    <row r="15" spans="1:7" x14ac:dyDescent="0.25">
      <c r="A15" s="2">
        <v>-60</v>
      </c>
      <c r="B15" s="1" t="s">
        <v>12</v>
      </c>
      <c r="C15" s="1" t="s">
        <v>8</v>
      </c>
      <c r="D15" s="1" t="s">
        <v>20</v>
      </c>
      <c r="E15" s="1" t="str">
        <f>_xlfn.XLOOKUP(operations[[#This Row],[Category]], categories[Category], categories[Type], " ", 0, 1)</f>
        <v>expense</v>
      </c>
      <c r="F15" s="3">
        <v>45314</v>
      </c>
      <c r="G15" s="1">
        <f>MONTH(operations[[#This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_xlfn.XLOOKUP(operations[[#This Row],[Category]], categories[Category], categories[Type], " ", 0, 1)</f>
        <v>expense</v>
      </c>
      <c r="F16" s="3">
        <v>45315</v>
      </c>
      <c r="G16" s="1">
        <f>MONTH(operations[[#This Row],[Date]])</f>
        <v>1</v>
      </c>
    </row>
    <row r="17" spans="1:7" x14ac:dyDescent="0.25">
      <c r="A17" s="2">
        <v>-50</v>
      </c>
      <c r="B17" s="1" t="s">
        <v>24</v>
      </c>
      <c r="C17" s="1" t="s">
        <v>25</v>
      </c>
      <c r="D17" s="1" t="s">
        <v>9</v>
      </c>
      <c r="E17" s="1" t="str">
        <f>_xlfn.XLOOKUP(operations[[#This Row],[Category]], categories[Category], categories[Type], " ", 0, 1)</f>
        <v>expense</v>
      </c>
      <c r="F17" s="3">
        <v>45316</v>
      </c>
      <c r="G17" s="1">
        <f>MONTH(operations[[#This Row],[Date]])</f>
        <v>1</v>
      </c>
    </row>
    <row r="18" spans="1:7" x14ac:dyDescent="0.25">
      <c r="A18" s="2">
        <v>150</v>
      </c>
      <c r="B18" s="1" t="s">
        <v>24</v>
      </c>
      <c r="C18" s="1" t="s">
        <v>26</v>
      </c>
      <c r="D18" s="1" t="s">
        <v>15</v>
      </c>
      <c r="E18" s="1" t="str">
        <f>_xlfn.XLOOKUP(operations[[#This Row],[Category]], categories[Category], categories[Type], " ", 0, 1)</f>
        <v>Income</v>
      </c>
      <c r="F18" s="3">
        <v>45316</v>
      </c>
      <c r="G18" s="1">
        <f>MONTH(operations[[#This Row],[Date]])</f>
        <v>1</v>
      </c>
    </row>
    <row r="19" spans="1:7" x14ac:dyDescent="0.25">
      <c r="A19" s="2">
        <v>5.5</v>
      </c>
      <c r="B19" s="1" t="s">
        <v>12</v>
      </c>
      <c r="C19" s="1" t="s">
        <v>18</v>
      </c>
      <c r="D19" s="1" t="s">
        <v>27</v>
      </c>
      <c r="E19" s="1" t="str">
        <f>_xlfn.XLOOKUP(operations[[#This Row],[Category]], categories[Category], categories[Type], " ", 0, 1)</f>
        <v>Income</v>
      </c>
      <c r="F19" s="3">
        <v>45317</v>
      </c>
      <c r="G19" s="1">
        <f>MONTH(operations[[#This Row],[Date]])</f>
        <v>1</v>
      </c>
    </row>
    <row r="20" spans="1:7" x14ac:dyDescent="0.25">
      <c r="A20" s="2">
        <v>100</v>
      </c>
      <c r="B20" s="1" t="s">
        <v>7</v>
      </c>
      <c r="C20" s="1" t="s">
        <v>16</v>
      </c>
      <c r="D20" s="1" t="s">
        <v>27</v>
      </c>
      <c r="E20" s="1" t="str">
        <f>_xlfn.XLOOKUP(operations[[#This Row],[Category]], categories[Category], categories[Type], " ", 0, 1)</f>
        <v>Income</v>
      </c>
      <c r="F20" s="3">
        <v>45318</v>
      </c>
      <c r="G20" s="1">
        <f>MONTH(operations[[#This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28</v>
      </c>
      <c r="E21" s="1" t="str">
        <f>_xlfn.XLOOKUP(operations[[#This Row],[Category]], categories[Category], categories[Type], " ", 0, 1)</f>
        <v>expense</v>
      </c>
      <c r="F21" s="3">
        <v>45319</v>
      </c>
      <c r="G21" s="1">
        <f>MONTH(operations[[#This Row],[Date]])</f>
        <v>1</v>
      </c>
    </row>
    <row r="22" spans="1:7" x14ac:dyDescent="0.25">
      <c r="A22" s="2">
        <v>200</v>
      </c>
      <c r="B22" s="1" t="s">
        <v>12</v>
      </c>
      <c r="C22" s="1" t="s">
        <v>8</v>
      </c>
      <c r="D22" s="1" t="s">
        <v>15</v>
      </c>
      <c r="E22" s="1" t="str">
        <f>_xlfn.XLOOKUP(operations[[#This Row],[Category]], categories[Category], categories[Type], " ", 0, 1)</f>
        <v>Income</v>
      </c>
      <c r="F22" s="3">
        <v>45324</v>
      </c>
      <c r="G22" s="1">
        <f>MONTH(operations[[#This Row],[Date]])</f>
        <v>2</v>
      </c>
    </row>
    <row r="23" spans="1:7" x14ac:dyDescent="0.25">
      <c r="A23" s="2">
        <v>-15</v>
      </c>
      <c r="B23" s="1" t="s">
        <v>12</v>
      </c>
      <c r="C23" s="1" t="s">
        <v>8</v>
      </c>
      <c r="D23" s="1" t="s">
        <v>17</v>
      </c>
      <c r="E23" s="1" t="str">
        <f>_xlfn.XLOOKUP(operations[[#This Row],[Category]], categories[Category], categories[Type], " ", 0, 1)</f>
        <v>expense</v>
      </c>
      <c r="F23" s="3">
        <v>45326</v>
      </c>
      <c r="G23" s="1">
        <f>MONTH(operations[[#This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9</v>
      </c>
      <c r="E24" s="1" t="str">
        <f>_xlfn.XLOOKUP(operations[[#This Row],[Category]], categories[Category], categories[Type], " ", 0, 1)</f>
        <v>expense</v>
      </c>
      <c r="F24" s="3">
        <v>45328</v>
      </c>
      <c r="G24" s="1">
        <f>MONTH(operations[[#This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10</v>
      </c>
      <c r="E25" s="1" t="str">
        <f>_xlfn.XLOOKUP(operations[[#This Row],[Category]], categories[Category], categories[Type], " ", 0, 1)</f>
        <v>Income</v>
      </c>
      <c r="F25" s="3">
        <v>45332</v>
      </c>
      <c r="G25" s="1">
        <f>MONTH(operations[[#This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11</v>
      </c>
      <c r="E26" s="1" t="str">
        <f>_xlfn.XLOOKUP(operations[[#This Row],[Category]], categories[Category], categories[Type], " ", 0, 1)</f>
        <v>expense</v>
      </c>
      <c r="F26" s="3">
        <v>45333</v>
      </c>
      <c r="G26" s="1">
        <f>MONTH(operations[[#This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_xlfn.XLOOKUP(operations[[#This Row],[Category]], categories[Category], categories[Type], " ", 0, 1)</f>
        <v>expense</v>
      </c>
      <c r="F27" s="3">
        <v>45335</v>
      </c>
      <c r="G27" s="1">
        <f>MONTH(operations[[#This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15</v>
      </c>
      <c r="E28" s="1" t="str">
        <f>_xlfn.XLOOKUP(operations[[#This Row],[Category]], categories[Category], categories[Type], " ", 0, 1)</f>
        <v>Income</v>
      </c>
      <c r="F28" s="3">
        <v>45336</v>
      </c>
      <c r="G28" s="1">
        <f>MONTH(operations[[#This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9</v>
      </c>
      <c r="E29" s="1" t="str">
        <f>_xlfn.XLOOKUP(operations[[#This Row],[Category]], categories[Category], categories[Type], " ", 0, 1)</f>
        <v>expense</v>
      </c>
      <c r="F29" s="3">
        <v>45336</v>
      </c>
      <c r="G29" s="1">
        <f>MONTH(operations[[#This Row],[Date]])</f>
        <v>2</v>
      </c>
    </row>
    <row r="30" spans="1:7" x14ac:dyDescent="0.25">
      <c r="A30" s="2">
        <v>-500</v>
      </c>
      <c r="B30" s="1" t="s">
        <v>7</v>
      </c>
      <c r="C30" s="1" t="s">
        <v>16</v>
      </c>
      <c r="D30" s="1" t="s">
        <v>17</v>
      </c>
      <c r="E30" s="1" t="str">
        <f>_xlfn.XLOOKUP(operations[[#This Row],[Category]], categories[Category], categories[Type], " ", 0, 1)</f>
        <v>expense</v>
      </c>
      <c r="F30" s="3">
        <v>45336</v>
      </c>
      <c r="G30" s="1">
        <f>MONTH(operations[[#This Row],[Date]])</f>
        <v>2</v>
      </c>
    </row>
    <row r="31" spans="1:7" x14ac:dyDescent="0.25">
      <c r="A31" s="2">
        <v>-200</v>
      </c>
      <c r="B31" s="1" t="s">
        <v>24</v>
      </c>
      <c r="C31" s="1" t="s">
        <v>26</v>
      </c>
      <c r="D31" s="1" t="s">
        <v>17</v>
      </c>
      <c r="E31" s="1" t="str">
        <f>_xlfn.XLOOKUP(operations[[#This Row],[Category]], categories[Category], categories[Type], " ", 0, 1)</f>
        <v>expense</v>
      </c>
      <c r="F31" s="3">
        <v>45336</v>
      </c>
      <c r="G31" s="1">
        <f>MONTH(operations[[#This Row],[Date]])</f>
        <v>2</v>
      </c>
    </row>
    <row r="32" spans="1:7" x14ac:dyDescent="0.25">
      <c r="A32" s="2">
        <v>175</v>
      </c>
      <c r="B32" s="1" t="s">
        <v>7</v>
      </c>
      <c r="C32" s="1" t="s">
        <v>13</v>
      </c>
      <c r="D32" s="1" t="s">
        <v>29</v>
      </c>
      <c r="E32" s="1" t="str">
        <f>_xlfn.XLOOKUP(operations[[#This Row],[Category]], categories[Category], categories[Type], " ", 0, 1)</f>
        <v>transfer</v>
      </c>
      <c r="F32" s="3">
        <v>45337</v>
      </c>
      <c r="G32" s="1">
        <f>MONTH(operations[[#This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29</v>
      </c>
      <c r="E33" s="1" t="str">
        <f>_xlfn.XLOOKUP(operations[[#This Row],[Category]], categories[Category], categories[Type], " ", 0, 1)</f>
        <v>transfer</v>
      </c>
      <c r="F33" s="3">
        <v>45337</v>
      </c>
      <c r="G33" s="1">
        <f>MONTH(operations[[#This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_xlfn.XLOOKUP(operations[[#This Row],[Category]], categories[Category], categories[Type], " ", 0, 1)</f>
        <v>expense</v>
      </c>
      <c r="F34" s="3">
        <v>45339</v>
      </c>
      <c r="G34" s="1">
        <f>MONTH(operations[[#This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21</v>
      </c>
      <c r="E35" s="1" t="str">
        <f>_xlfn.XLOOKUP(operations[[#This Row],[Category]], categories[Category], categories[Type], " ", 0, 1)</f>
        <v>expense</v>
      </c>
      <c r="F35" s="3">
        <v>45342</v>
      </c>
      <c r="G35" s="1">
        <f>MONTH(operations[[#This Row],[Date]])</f>
        <v>2</v>
      </c>
    </row>
    <row r="36" spans="1:7" x14ac:dyDescent="0.25">
      <c r="A36" s="2">
        <v>150</v>
      </c>
      <c r="B36" s="1" t="s">
        <v>24</v>
      </c>
      <c r="C36" s="1" t="s">
        <v>26</v>
      </c>
      <c r="D36" s="1" t="s">
        <v>15</v>
      </c>
      <c r="E36" s="1" t="str">
        <f>_xlfn.XLOOKUP(operations[[#This Row],[Category]], categories[Category], categories[Type], " ", 0, 1)</f>
        <v>Income</v>
      </c>
      <c r="F36" s="3">
        <v>45344</v>
      </c>
      <c r="G36" s="1">
        <f>MONTH(operations[[#This Row],[Date]])</f>
        <v>2</v>
      </c>
    </row>
    <row r="37" spans="1:7" x14ac:dyDescent="0.25">
      <c r="A37" s="2">
        <v>100</v>
      </c>
      <c r="B37" s="1" t="s">
        <v>24</v>
      </c>
      <c r="C37" s="1" t="s">
        <v>25</v>
      </c>
      <c r="D37" s="1" t="s">
        <v>15</v>
      </c>
      <c r="E37" s="1" t="str">
        <f>_xlfn.XLOOKUP(operations[[#This Row],[Category]], categories[Category], categories[Type], " ", 0, 1)</f>
        <v>Income</v>
      </c>
      <c r="F37" s="3">
        <v>45345</v>
      </c>
      <c r="G37" s="1">
        <f>MONTH(operations[[#This Row],[Date]])</f>
        <v>2</v>
      </c>
    </row>
    <row r="38" spans="1:7" x14ac:dyDescent="0.25">
      <c r="A38" s="2">
        <v>-200</v>
      </c>
      <c r="B38" s="1" t="s">
        <v>24</v>
      </c>
      <c r="C38" s="1" t="s">
        <v>26</v>
      </c>
      <c r="D38" s="1" t="s">
        <v>20</v>
      </c>
      <c r="E38" s="1" t="str">
        <f>_xlfn.XLOOKUP(operations[[#This Row],[Category]], categories[Category], categories[Type], " ", 0, 1)</f>
        <v>expense</v>
      </c>
      <c r="F38" s="3">
        <v>45346</v>
      </c>
      <c r="G38" s="1">
        <f>MONTH(operations[[#This Row],[Date]])</f>
        <v>2</v>
      </c>
    </row>
    <row r="39" spans="1:7" x14ac:dyDescent="0.25">
      <c r="A39" s="2">
        <v>1000</v>
      </c>
      <c r="B39" s="1" t="s">
        <v>24</v>
      </c>
      <c r="C39" s="1" t="s">
        <v>26</v>
      </c>
      <c r="D39" s="1" t="s">
        <v>15</v>
      </c>
      <c r="E39" s="1" t="str">
        <f>_xlfn.XLOOKUP(operations[[#This Row],[Category]], categories[Category], categories[Type], " ", 0, 1)</f>
        <v>Income</v>
      </c>
      <c r="F39" s="3">
        <v>45347</v>
      </c>
      <c r="G39" s="1">
        <f>MONTH(operations[[#This Row],[Date]])</f>
        <v>2</v>
      </c>
    </row>
    <row r="40" spans="1:7" x14ac:dyDescent="0.25">
      <c r="A40" s="2">
        <v>-250</v>
      </c>
      <c r="B40" s="1" t="s">
        <v>24</v>
      </c>
      <c r="C40" s="1" t="s">
        <v>26</v>
      </c>
      <c r="D40" s="1" t="s">
        <v>28</v>
      </c>
      <c r="E40" s="1" t="str">
        <f>_xlfn.XLOOKUP(operations[[#This Row],[Category]], categories[Category], categories[Type], " ", 0, 1)</f>
        <v>expense</v>
      </c>
      <c r="F40" s="3">
        <v>45347</v>
      </c>
      <c r="G40" s="1">
        <f>MONTH(operations[[#This Row],[Date]])</f>
        <v>2</v>
      </c>
    </row>
    <row r="41" spans="1:7" x14ac:dyDescent="0.25">
      <c r="A41" s="2">
        <v>-100</v>
      </c>
      <c r="B41" s="1" t="s">
        <v>12</v>
      </c>
      <c r="C41" s="1" t="s">
        <v>8</v>
      </c>
      <c r="D41" s="1" t="s">
        <v>9</v>
      </c>
      <c r="E41" s="1" t="str">
        <f>_xlfn.XLOOKUP(operations[[#This Row],[Category]], categories[Category], categories[Type], " ", 0, 1)</f>
        <v>expense</v>
      </c>
      <c r="F41" s="3">
        <v>45348</v>
      </c>
      <c r="G41" s="1">
        <f>MONTH(operations[[#This Row],[Date]])</f>
        <v>2</v>
      </c>
    </row>
    <row r="42" spans="1:7" x14ac:dyDescent="0.25">
      <c r="A42" s="2">
        <v>-50</v>
      </c>
      <c r="B42" s="1" t="s">
        <v>12</v>
      </c>
      <c r="C42" s="1" t="s">
        <v>8</v>
      </c>
      <c r="D42" s="1" t="s">
        <v>17</v>
      </c>
      <c r="E42" s="1" t="str">
        <f>_xlfn.XLOOKUP(operations[[#This Row],[Category]], categories[Category], categories[Type], " ", 0, 1)</f>
        <v>expense</v>
      </c>
      <c r="F42" s="3">
        <v>45348</v>
      </c>
      <c r="G42" s="1">
        <f>MONTH(operations[[#This Row],[Date]])</f>
        <v>2</v>
      </c>
    </row>
    <row r="43" spans="1:7" x14ac:dyDescent="0.25">
      <c r="A43" s="2">
        <v>15</v>
      </c>
      <c r="B43" s="1" t="s">
        <v>12</v>
      </c>
      <c r="C43" s="1" t="s">
        <v>18</v>
      </c>
      <c r="D43" s="1" t="s">
        <v>27</v>
      </c>
      <c r="E43" s="1" t="str">
        <f>_xlfn.XLOOKUP(operations[[#This Row],[Category]], categories[Category], categories[Type], " ", 0, 1)</f>
        <v>Income</v>
      </c>
      <c r="F43" s="3">
        <v>45349</v>
      </c>
      <c r="G43" s="1">
        <f>MONTH(operations[[#This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14</v>
      </c>
      <c r="E44" s="1" t="str">
        <f>_xlfn.XLOOKUP(operations[[#This Row],[Category]], categories[Category], categories[Type], " ", 0, 1)</f>
        <v>expense</v>
      </c>
      <c r="F44" s="3">
        <v>45350</v>
      </c>
      <c r="G44" s="1">
        <f>MONTH(operations[[#This Row],[Date]])</f>
        <v>2</v>
      </c>
    </row>
    <row r="45" spans="1:7" x14ac:dyDescent="0.25">
      <c r="A45" s="2">
        <v>100</v>
      </c>
      <c r="B45" s="1" t="s">
        <v>7</v>
      </c>
      <c r="C45" s="1" t="s">
        <v>16</v>
      </c>
      <c r="D45" s="1" t="s">
        <v>27</v>
      </c>
      <c r="E45" s="1" t="str">
        <f>_xlfn.XLOOKUP(operations[[#This Row],[Category]], categories[Category], categories[Type], " ", 0, 1)</f>
        <v>Income</v>
      </c>
      <c r="F45" s="3">
        <v>45350</v>
      </c>
      <c r="G45" s="1">
        <f>MONTH(operations[[#This Row],[Date]])</f>
        <v>2</v>
      </c>
    </row>
    <row r="46" spans="1:7" x14ac:dyDescent="0.25">
      <c r="A46" s="2">
        <v>-25</v>
      </c>
      <c r="B46" s="1" t="s">
        <v>7</v>
      </c>
      <c r="C46" s="1" t="s">
        <v>13</v>
      </c>
      <c r="D46" s="1" t="s">
        <v>9</v>
      </c>
      <c r="E46" s="1" t="str">
        <f>_xlfn.XLOOKUP(operations[[#This Row],[Category]], categories[Category], categories[Type], " ", 0, 1)</f>
        <v>expense</v>
      </c>
      <c r="F46" s="3">
        <v>45352</v>
      </c>
      <c r="G46" s="1">
        <f>MONTH(operations[[#This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9</v>
      </c>
      <c r="E47" s="1" t="str">
        <f>_xlfn.XLOOKUP(operations[[#This Row],[Category]], categories[Category], categories[Type], " ", 0, 1)</f>
        <v>expense</v>
      </c>
      <c r="F47" s="3">
        <v>45353</v>
      </c>
      <c r="G47" s="1">
        <f>MONTH(operations[[#This Row],[Date]])</f>
        <v>3</v>
      </c>
    </row>
    <row r="48" spans="1:7" x14ac:dyDescent="0.25">
      <c r="A48" s="2">
        <v>-82.5</v>
      </c>
      <c r="B48" s="1" t="s">
        <v>12</v>
      </c>
      <c r="C48" s="1" t="s">
        <v>8</v>
      </c>
      <c r="D48" s="1" t="s">
        <v>21</v>
      </c>
      <c r="E48" s="1" t="str">
        <f>_xlfn.XLOOKUP(operations[[#This Row],[Category]], categories[Category], categories[Type], " ", 0, 1)</f>
        <v>expense</v>
      </c>
      <c r="F48" s="3">
        <v>45353</v>
      </c>
      <c r="G48" s="1">
        <f>MONTH(operations[[#This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_xlfn.XLOOKUP(operations[[#This Row],[Category]], categories[Category], categories[Type], " ", 0, 1)</f>
        <v>expense</v>
      </c>
      <c r="F49" s="3">
        <v>45355</v>
      </c>
      <c r="G49" s="1">
        <f>MONTH(operations[[#This Row],[Date]])</f>
        <v>3</v>
      </c>
    </row>
    <row r="50" spans="1:7" x14ac:dyDescent="0.25">
      <c r="A50" s="2">
        <v>150</v>
      </c>
      <c r="B50" s="1" t="s">
        <v>12</v>
      </c>
      <c r="C50" s="1" t="s">
        <v>8</v>
      </c>
      <c r="D50" s="1" t="s">
        <v>27</v>
      </c>
      <c r="E50" s="1" t="str">
        <f>_xlfn.XLOOKUP(operations[[#This Row],[Category]], categories[Category], categories[Type], " ", 0, 1)</f>
        <v>Income</v>
      </c>
      <c r="F50" s="3">
        <v>45357</v>
      </c>
      <c r="G50" s="1">
        <f>MONTH(operations[[#This Row],[Date]])</f>
        <v>3</v>
      </c>
    </row>
    <row r="51" spans="1:7" x14ac:dyDescent="0.25">
      <c r="A51" s="2">
        <v>-24.49</v>
      </c>
      <c r="B51" s="1" t="s">
        <v>24</v>
      </c>
      <c r="C51" s="1" t="s">
        <v>25</v>
      </c>
      <c r="D51" s="1" t="s">
        <v>9</v>
      </c>
      <c r="E51" s="1" t="str">
        <f>_xlfn.XLOOKUP(operations[[#This Row],[Category]], categories[Category], categories[Type], " ", 0, 1)</f>
        <v>expense</v>
      </c>
      <c r="F51" s="3">
        <v>45359</v>
      </c>
      <c r="G51" s="1">
        <f>MONTH(operations[[#This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10</v>
      </c>
      <c r="E52" s="1" t="str">
        <f>_xlfn.XLOOKUP(operations[[#This Row],[Category]], categories[Category], categories[Type], " ", 0, 1)</f>
        <v>Income</v>
      </c>
      <c r="F52" s="3">
        <v>45361</v>
      </c>
      <c r="G52" s="1">
        <f>MONTH(operations[[#This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11</v>
      </c>
      <c r="E53" s="1" t="str">
        <f>_xlfn.XLOOKUP(operations[[#This Row],[Category]], categories[Category], categories[Type], " ", 0, 1)</f>
        <v>expense</v>
      </c>
      <c r="F53" s="3">
        <v>45362</v>
      </c>
      <c r="G53" s="1">
        <f>MONTH(operations[[#This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9</v>
      </c>
      <c r="E54" s="1" t="str">
        <f>_xlfn.XLOOKUP(operations[[#This Row],[Category]], categories[Category], categories[Type], " ", 0, 1)</f>
        <v>expense</v>
      </c>
      <c r="F54" s="3">
        <v>45363</v>
      </c>
      <c r="G54" s="1">
        <f>MONTH(operations[[#This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_xlfn.XLOOKUP(operations[[#This Row],[Category]], categories[Category], categories[Type], " ", 0, 1)</f>
        <v>expense</v>
      </c>
      <c r="F55" s="3">
        <v>45364</v>
      </c>
      <c r="G55" s="1">
        <f>MONTH(operations[[#This Row],[Date]])</f>
        <v>3</v>
      </c>
    </row>
    <row r="56" spans="1:7" x14ac:dyDescent="0.25">
      <c r="A56" s="2">
        <v>-9.5</v>
      </c>
      <c r="B56" s="1" t="s">
        <v>24</v>
      </c>
      <c r="C56" s="1" t="s">
        <v>26</v>
      </c>
      <c r="D56" s="1" t="s">
        <v>28</v>
      </c>
      <c r="E56" s="1" t="str">
        <f>_xlfn.XLOOKUP(operations[[#This Row],[Category]], categories[Category], categories[Type], " ", 0, 1)</f>
        <v>expense</v>
      </c>
      <c r="F56" s="3">
        <v>45368</v>
      </c>
      <c r="G56" s="1">
        <f>MONTH(operations[[#This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14</v>
      </c>
      <c r="E57" s="1" t="str">
        <f>_xlfn.XLOOKUP(operations[[#This Row],[Category]], categories[Category], categories[Type], " ", 0, 1)</f>
        <v>expense</v>
      </c>
      <c r="F57" s="3">
        <v>45371</v>
      </c>
      <c r="G57" s="1">
        <f>MONTH(operations[[#This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9</v>
      </c>
      <c r="E58" s="1" t="str">
        <f>_xlfn.XLOOKUP(operations[[#This Row],[Category]], categories[Category], categories[Type], " ", 0, 1)</f>
        <v>expense</v>
      </c>
      <c r="F58" s="3">
        <v>45373</v>
      </c>
      <c r="G58" s="1">
        <f>MONTH(operations[[#This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17</v>
      </c>
      <c r="E59" s="1" t="str">
        <f>_xlfn.XLOOKUP(operations[[#This Row],[Category]], categories[Category], categories[Type], " ", 0, 1)</f>
        <v>expense</v>
      </c>
      <c r="F59" s="3">
        <v>45375</v>
      </c>
      <c r="G59" s="1">
        <f>MONTH(operations[[#This Row],[Date]])</f>
        <v>3</v>
      </c>
    </row>
    <row r="60" spans="1:7" x14ac:dyDescent="0.25">
      <c r="A60" s="2">
        <v>5</v>
      </c>
      <c r="B60" s="1" t="s">
        <v>12</v>
      </c>
      <c r="C60" s="1" t="s">
        <v>18</v>
      </c>
      <c r="D60" s="1" t="s">
        <v>30</v>
      </c>
      <c r="E60" s="1" t="str">
        <f>_xlfn.XLOOKUP(operations[[#This Row],[Category]], categories[Category], categories[Type], " ", 0, 1)</f>
        <v>Income</v>
      </c>
      <c r="F60" s="3">
        <v>45377</v>
      </c>
      <c r="G60" s="1">
        <f>MONTH(operations[[#This Row],[Date]])</f>
        <v>3</v>
      </c>
    </row>
    <row r="61" spans="1:7" x14ac:dyDescent="0.25">
      <c r="A61" s="2">
        <v>-79.5</v>
      </c>
      <c r="B61" s="1" t="s">
        <v>7</v>
      </c>
      <c r="C61" s="1" t="s">
        <v>13</v>
      </c>
      <c r="D61" s="1" t="s">
        <v>23</v>
      </c>
      <c r="E61" s="1" t="str">
        <f>_xlfn.XLOOKUP(operations[[#This Row],[Category]], categories[Category], categories[Type], " ", 0, 1)</f>
        <v>expense</v>
      </c>
      <c r="F61" s="3">
        <v>45379</v>
      </c>
      <c r="G61" s="1">
        <f>MONTH(operations[[#This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9</v>
      </c>
      <c r="E62" s="1" t="str">
        <f>_xlfn.XLOOKUP(operations[[#This Row],[Category]], categories[Category], categories[Type], " ", 0, 1)</f>
        <v>expense</v>
      </c>
      <c r="F62" s="3">
        <v>45381</v>
      </c>
      <c r="G62" s="1">
        <f>MONTH(operations[[#This Row],[Date]])</f>
        <v>3</v>
      </c>
    </row>
    <row r="63" spans="1:7" x14ac:dyDescent="0.25">
      <c r="A63" s="2">
        <v>-23.5</v>
      </c>
      <c r="B63" s="1" t="s">
        <v>7</v>
      </c>
      <c r="C63" s="1" t="s">
        <v>13</v>
      </c>
      <c r="D63" s="1" t="s">
        <v>28</v>
      </c>
      <c r="E63" s="1" t="str">
        <f>_xlfn.XLOOKUP(operations[[#This Row],[Category]], categories[Category], categories[Type], " ", 0, 1)</f>
        <v>expense</v>
      </c>
      <c r="F63" s="3">
        <v>45383</v>
      </c>
      <c r="G63" s="1">
        <f>MONTH(operations[[#This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21</v>
      </c>
      <c r="E64" s="1" t="str">
        <f>_xlfn.XLOOKUP(operations[[#This Row],[Category]], categories[Category], categories[Type], " ", 0, 1)</f>
        <v>expense</v>
      </c>
      <c r="F64" s="3">
        <v>45384</v>
      </c>
      <c r="G64" s="1">
        <f>MONTH(operations[[#This Row],[Date]])</f>
        <v>4</v>
      </c>
    </row>
    <row r="65" spans="1:7" x14ac:dyDescent="0.25">
      <c r="A65" s="2">
        <v>150</v>
      </c>
      <c r="B65" s="1" t="s">
        <v>12</v>
      </c>
      <c r="C65" s="1" t="s">
        <v>8</v>
      </c>
      <c r="D65" s="1" t="s">
        <v>27</v>
      </c>
      <c r="E65" s="1" t="str">
        <f>_xlfn.XLOOKUP(operations[[#This Row],[Category]], categories[Category], categories[Type], " ", 0, 1)</f>
        <v>Income</v>
      </c>
      <c r="F65" s="3">
        <v>45388</v>
      </c>
      <c r="G65" s="1">
        <f>MONTH(operations[[#This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9</v>
      </c>
      <c r="E66" s="1" t="str">
        <f>_xlfn.XLOOKUP(operations[[#This Row],[Category]], categories[Category], categories[Type], " ", 0, 1)</f>
        <v>expense</v>
      </c>
      <c r="F66" s="3">
        <v>45389</v>
      </c>
      <c r="G66" s="1">
        <f>MONTH(operations[[#This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10</v>
      </c>
      <c r="E67" s="1" t="str">
        <f>_xlfn.XLOOKUP(operations[[#This Row],[Category]], categories[Category], categories[Type], " ", 0, 1)</f>
        <v>Income</v>
      </c>
      <c r="F67" s="3">
        <v>45392</v>
      </c>
      <c r="G67" s="1">
        <f>MONTH(operations[[#This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11</v>
      </c>
      <c r="E68" s="1" t="str">
        <f>_xlfn.XLOOKUP(operations[[#This Row],[Category]], categories[Category], categories[Type], " ", 0, 1)</f>
        <v>expense</v>
      </c>
      <c r="F68" s="3">
        <v>45393</v>
      </c>
      <c r="G68" s="1">
        <f>MONTH(operations[[#This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_xlfn.XLOOKUP(operations[[#This Row],[Category]], categories[Category], categories[Type], " ", 0, 1)</f>
        <v>expense</v>
      </c>
      <c r="F69" s="3">
        <v>45395</v>
      </c>
      <c r="G69" s="1">
        <f>MONTH(operations[[#This Row],[Date]])</f>
        <v>4</v>
      </c>
    </row>
    <row r="70" spans="1:7" x14ac:dyDescent="0.25">
      <c r="A70" s="2">
        <v>104.5</v>
      </c>
      <c r="B70" s="1" t="s">
        <v>7</v>
      </c>
      <c r="C70" s="1" t="s">
        <v>13</v>
      </c>
      <c r="D70" s="1" t="s">
        <v>29</v>
      </c>
      <c r="E70" s="1" t="str">
        <f>_xlfn.XLOOKUP(operations[[#This Row],[Category]], categories[Category], categories[Type], " ", 0, 1)</f>
        <v>transfer</v>
      </c>
      <c r="F70" s="3">
        <v>45397</v>
      </c>
      <c r="G70" s="1">
        <f>MONTH(operations[[#This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29</v>
      </c>
      <c r="E71" s="1" t="str">
        <f>_xlfn.XLOOKUP(operations[[#This Row],[Category]], categories[Category], categories[Type], " ", 0, 1)</f>
        <v>transfer</v>
      </c>
      <c r="F71" s="3">
        <v>45397</v>
      </c>
      <c r="G71" s="1">
        <f>MONTH(operations[[#This Row],[Date]])</f>
        <v>4</v>
      </c>
    </row>
    <row r="72" spans="1:7" x14ac:dyDescent="0.25">
      <c r="A72" s="2">
        <v>-49</v>
      </c>
      <c r="B72" s="1" t="s">
        <v>12</v>
      </c>
      <c r="C72" s="1" t="s">
        <v>8</v>
      </c>
      <c r="D72" s="1" t="s">
        <v>14</v>
      </c>
      <c r="E72" s="1" t="str">
        <f>_xlfn.XLOOKUP(operations[[#This Row],[Category]], categories[Category], categories[Type], " ", 0, 1)</f>
        <v>expense</v>
      </c>
      <c r="F72" s="3">
        <v>45397</v>
      </c>
      <c r="G72" s="1">
        <f>MONTH(operations[[#This Row],[Date]])</f>
        <v>4</v>
      </c>
    </row>
    <row r="73" spans="1:7" x14ac:dyDescent="0.25">
      <c r="A73" s="2">
        <v>-9.99</v>
      </c>
      <c r="B73" s="1" t="s">
        <v>7</v>
      </c>
      <c r="C73" s="1" t="s">
        <v>13</v>
      </c>
      <c r="D73" s="1" t="s">
        <v>9</v>
      </c>
      <c r="E73" s="1" t="str">
        <f>_xlfn.XLOOKUP(operations[[#This Row],[Category]], categories[Category], categories[Type], " ", 0, 1)</f>
        <v>expense</v>
      </c>
      <c r="F73" s="3">
        <v>45398</v>
      </c>
      <c r="G73" s="1">
        <f>MONTH(operations[[#This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17</v>
      </c>
      <c r="E74" s="1" t="str">
        <f>_xlfn.XLOOKUP(operations[[#This Row],[Category]], categories[Category], categories[Type], " ", 0, 1)</f>
        <v>expense</v>
      </c>
      <c r="F74" s="3">
        <v>45399</v>
      </c>
      <c r="G74" s="1">
        <f>MONTH(operations[[#This Row],[Date]])</f>
        <v>4</v>
      </c>
    </row>
    <row r="75" spans="1:7" x14ac:dyDescent="0.25">
      <c r="A75" s="2">
        <v>-57.9</v>
      </c>
      <c r="B75" s="1" t="s">
        <v>7</v>
      </c>
      <c r="C75" s="1" t="s">
        <v>13</v>
      </c>
      <c r="D75" s="1" t="s">
        <v>20</v>
      </c>
      <c r="E75" s="1" t="str">
        <f>_xlfn.XLOOKUP(operations[[#This Row],[Category]], categories[Category], categories[Type], " ", 0, 1)</f>
        <v>expense</v>
      </c>
      <c r="F75" s="3">
        <v>45401</v>
      </c>
      <c r="G75" s="1">
        <f>MONTH(operations[[#This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9</v>
      </c>
      <c r="E76" s="1" t="str">
        <f>_xlfn.XLOOKUP(operations[[#This Row],[Category]], categories[Category], categories[Type], " ", 0, 1)</f>
        <v>expense</v>
      </c>
      <c r="F76" s="3">
        <v>45403</v>
      </c>
      <c r="G76" s="1">
        <f>MONTH(operations[[#This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_xlfn.XLOOKUP(operations[[#This Row],[Category]], categories[Category], categories[Type], " ", 0, 1)</f>
        <v>expense</v>
      </c>
      <c r="F77" s="3">
        <v>45405</v>
      </c>
      <c r="G77" s="1">
        <f>MONTH(operations[[#This Row],[Date]])</f>
        <v>4</v>
      </c>
    </row>
    <row r="78" spans="1:7" x14ac:dyDescent="0.25">
      <c r="A78" s="2">
        <v>50</v>
      </c>
      <c r="B78" s="1" t="s">
        <v>12</v>
      </c>
      <c r="C78" s="1" t="s">
        <v>18</v>
      </c>
      <c r="D78" s="1" t="s">
        <v>30</v>
      </c>
      <c r="E78" s="1" t="str">
        <f>_xlfn.XLOOKUP(operations[[#This Row],[Category]], categories[Category], categories[Type], " ", 0, 1)</f>
        <v>Income</v>
      </c>
      <c r="F78" s="3">
        <v>45407</v>
      </c>
      <c r="G78" s="1">
        <f>MONTH(operations[[#This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9</v>
      </c>
      <c r="E79" s="1" t="str">
        <f>_xlfn.XLOOKUP(operations[[#This Row],[Category]], categories[Category], categories[Type], " ", 0, 1)</f>
        <v>expense</v>
      </c>
      <c r="F79" s="3">
        <v>45409</v>
      </c>
      <c r="G79" s="1">
        <f>MONTH(operations[[#This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9</v>
      </c>
      <c r="E80" s="1" t="str">
        <f>_xlfn.XLOOKUP(operations[[#This Row],[Category]], categories[Category], categories[Type], " ", 0, 1)</f>
        <v>expense</v>
      </c>
      <c r="F80" s="3">
        <v>45410</v>
      </c>
      <c r="G80" s="1">
        <f>MONTH(operations[[#This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_xlfn.XLOOKUP(operations[[#This Row],[Category]], categories[Category], categories[Type], " ", 0, 1)</f>
        <v>expense</v>
      </c>
      <c r="F81" s="3">
        <v>45411</v>
      </c>
      <c r="G81" s="1">
        <f>MONTH(operations[[#This Row],[Date]])</f>
        <v>4</v>
      </c>
    </row>
    <row r="82" spans="1:7" x14ac:dyDescent="0.25">
      <c r="A82" s="2">
        <v>-250</v>
      </c>
      <c r="B82" s="1" t="s">
        <v>7</v>
      </c>
      <c r="C82" s="1" t="s">
        <v>13</v>
      </c>
      <c r="D82" s="1" t="s">
        <v>9</v>
      </c>
      <c r="E82" s="1" t="str">
        <f>_xlfn.XLOOKUP(operations[[#This Row],[Category]], categories[Category], categories[Type], " ", 0, 1)</f>
        <v>expense</v>
      </c>
      <c r="F82" s="3">
        <v>45419</v>
      </c>
      <c r="G82" s="1">
        <f>MONTH(operations[[#This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21</v>
      </c>
      <c r="E83" s="1" t="str">
        <f>_xlfn.XLOOKUP(operations[[#This Row],[Category]], categories[Category], categories[Type], " ", 0, 1)</f>
        <v>expense</v>
      </c>
      <c r="F83" s="3">
        <v>45422</v>
      </c>
      <c r="G83" s="1">
        <f>MONTH(operations[[#This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10</v>
      </c>
      <c r="E84" s="1" t="str">
        <f>_xlfn.XLOOKUP(operations[[#This Row],[Category]], categories[Category], categories[Type], " ", 0, 1)</f>
        <v>Income</v>
      </c>
      <c r="F84" s="3">
        <v>45422</v>
      </c>
      <c r="G84" s="1">
        <f>MONTH(operations[[#This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11</v>
      </c>
      <c r="E85" s="1" t="str">
        <f>_xlfn.XLOOKUP(operations[[#This Row],[Category]], categories[Category], categories[Type], " ", 0, 1)</f>
        <v>expense</v>
      </c>
      <c r="F85" s="3">
        <v>45423</v>
      </c>
      <c r="G85" s="1">
        <f>MONTH(operations[[#This Row],[Date]])</f>
        <v>5</v>
      </c>
    </row>
    <row r="86" spans="1:7" x14ac:dyDescent="0.25">
      <c r="A86" s="2">
        <v>-250</v>
      </c>
      <c r="B86" s="1" t="s">
        <v>7</v>
      </c>
      <c r="C86" s="1" t="s">
        <v>13</v>
      </c>
      <c r="D86" s="1" t="s">
        <v>9</v>
      </c>
      <c r="E86" s="1" t="str">
        <f>_xlfn.XLOOKUP(operations[[#This Row],[Category]], categories[Category], categories[Type], " ", 0, 1)</f>
        <v>expense</v>
      </c>
      <c r="F86" s="3">
        <v>45426</v>
      </c>
      <c r="G86" s="1">
        <f>MONTH(operations[[#This Row],[Date]])</f>
        <v>5</v>
      </c>
    </row>
    <row r="87" spans="1:7" x14ac:dyDescent="0.25">
      <c r="A87" s="2">
        <v>91.39</v>
      </c>
      <c r="B87" s="1" t="s">
        <v>7</v>
      </c>
      <c r="C87" s="1" t="s">
        <v>13</v>
      </c>
      <c r="D87" s="1" t="s">
        <v>29</v>
      </c>
      <c r="E87" s="1" t="str">
        <f>_xlfn.XLOOKUP(operations[[#This Row],[Category]], categories[Category], categories[Type], " ", 0, 1)</f>
        <v>transfer</v>
      </c>
      <c r="F87" s="3">
        <v>45427</v>
      </c>
      <c r="G87" s="1">
        <f>MONTH(operations[[#This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29</v>
      </c>
      <c r="E88" s="1" t="str">
        <f>_xlfn.XLOOKUP(operations[[#This Row],[Category]], categories[Category], categories[Type], " ", 0, 1)</f>
        <v>transfer</v>
      </c>
      <c r="F88" s="3">
        <v>45427</v>
      </c>
      <c r="G88" s="1">
        <f>MONTH(operations[[#This Row],[Date]])</f>
        <v>5</v>
      </c>
    </row>
    <row r="89" spans="1:7" x14ac:dyDescent="0.25">
      <c r="A89" s="2">
        <v>-250</v>
      </c>
      <c r="B89" s="1" t="s">
        <v>7</v>
      </c>
      <c r="C89" s="1" t="s">
        <v>13</v>
      </c>
      <c r="D89" s="1" t="s">
        <v>9</v>
      </c>
      <c r="E89" s="1" t="str">
        <f>_xlfn.XLOOKUP(operations[[#This Row],[Category]], categories[Category], categories[Type], " ", 0, 1)</f>
        <v>expense</v>
      </c>
      <c r="F89" s="3">
        <v>45433</v>
      </c>
      <c r="G89" s="1">
        <f>MONTH(operations[[#This Row],[Date]])</f>
        <v>5</v>
      </c>
    </row>
    <row r="90" spans="1:7" x14ac:dyDescent="0.25">
      <c r="A90" s="2">
        <v>-250</v>
      </c>
      <c r="B90" s="1" t="s">
        <v>7</v>
      </c>
      <c r="C90" s="1" t="s">
        <v>13</v>
      </c>
      <c r="D90" s="1" t="s">
        <v>9</v>
      </c>
      <c r="E90" s="1" t="str">
        <f>_xlfn.XLOOKUP(operations[[#This Row],[Category]], categories[Category], categories[Type], " ", 0, 1)</f>
        <v>expense</v>
      </c>
      <c r="F90" s="3">
        <v>45440</v>
      </c>
      <c r="G90" s="1">
        <f>MONTH(operations[[#This Row],[Date]])</f>
        <v>5</v>
      </c>
    </row>
    <row r="91" spans="1:7" x14ac:dyDescent="0.25">
      <c r="A91" s="2">
        <v>-50</v>
      </c>
      <c r="B91" s="1" t="s">
        <v>12</v>
      </c>
      <c r="C91" s="1" t="s">
        <v>8</v>
      </c>
      <c r="D91" s="1" t="s">
        <v>14</v>
      </c>
      <c r="E91" s="1" t="str">
        <f>_xlfn.XLOOKUP(operations[[#This Row],[Category]], categories[Category], categories[Type], " ", 0, 1)</f>
        <v>expense</v>
      </c>
      <c r="F91" s="3">
        <v>45441</v>
      </c>
      <c r="G91" s="1">
        <f>MONTH(operations[[#This Row],[Date]])</f>
        <v>5</v>
      </c>
    </row>
    <row r="92" spans="1:7" x14ac:dyDescent="0.25">
      <c r="A92" s="2">
        <v>-80</v>
      </c>
      <c r="B92" s="1" t="s">
        <v>24</v>
      </c>
      <c r="C92" s="1" t="s">
        <v>26</v>
      </c>
      <c r="D92" s="1" t="s">
        <v>20</v>
      </c>
      <c r="E92" s="1" t="str">
        <f>_xlfn.XLOOKUP(operations[[#This Row],[Category]], categories[Category], categories[Type], " ", 0, 1)</f>
        <v>expense</v>
      </c>
      <c r="F92" s="3">
        <v>45442</v>
      </c>
      <c r="G92" s="1">
        <f>MONTH(operations[[#This Row],[Date]])</f>
        <v>5</v>
      </c>
    </row>
    <row r="93" spans="1:7" x14ac:dyDescent="0.25">
      <c r="A93" s="2">
        <v>-250</v>
      </c>
      <c r="B93" s="1" t="s">
        <v>7</v>
      </c>
      <c r="C93" s="1" t="s">
        <v>13</v>
      </c>
      <c r="D93" s="1" t="s">
        <v>9</v>
      </c>
      <c r="E93" s="1" t="str">
        <f>_xlfn.XLOOKUP(operations[[#This Row],[Category]], categories[Category], categories[Type], " ", 0, 1)</f>
        <v>expense</v>
      </c>
      <c r="F93" s="3">
        <v>45450</v>
      </c>
      <c r="G93" s="1">
        <f>MONTH(operations[[#This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21</v>
      </c>
      <c r="E94" s="1" t="str">
        <f>_xlfn.XLOOKUP(operations[[#This Row],[Category]], categories[Category], categories[Type], " ", 0, 1)</f>
        <v>expense</v>
      </c>
      <c r="F94" s="3">
        <v>45453</v>
      </c>
      <c r="G94" s="1">
        <f>MONTH(operations[[#This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10</v>
      </c>
      <c r="E95" s="1" t="str">
        <f>_xlfn.XLOOKUP(operations[[#This Row],[Category]], categories[Category], categories[Type], " ", 0, 1)</f>
        <v>Income</v>
      </c>
      <c r="F95" s="3">
        <v>45453</v>
      </c>
      <c r="G95" s="1">
        <f>MONTH(operations[[#This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11</v>
      </c>
      <c r="E96" s="1" t="str">
        <f>_xlfn.XLOOKUP(operations[[#This Row],[Category]], categories[Category], categories[Type], " ", 0, 1)</f>
        <v>expense</v>
      </c>
      <c r="F96" s="3">
        <v>45454</v>
      </c>
      <c r="G96" s="1">
        <f>MONTH(operations[[#This Row],[Date]])</f>
        <v>6</v>
      </c>
    </row>
    <row r="97" spans="1:7" x14ac:dyDescent="0.25">
      <c r="A97" s="2">
        <v>-250</v>
      </c>
      <c r="B97" s="1" t="s">
        <v>7</v>
      </c>
      <c r="C97" s="1" t="s">
        <v>13</v>
      </c>
      <c r="D97" s="1" t="s">
        <v>9</v>
      </c>
      <c r="E97" s="1" t="str">
        <f>_xlfn.XLOOKUP(operations[[#This Row],[Category]], categories[Category], categories[Type], " ", 0, 1)</f>
        <v>expense</v>
      </c>
      <c r="F97" s="3">
        <v>45457</v>
      </c>
      <c r="G97" s="1">
        <f>MONTH(operations[[#This Row],[Date]])</f>
        <v>6</v>
      </c>
    </row>
    <row r="98" spans="1:7" x14ac:dyDescent="0.25">
      <c r="A98" s="2">
        <v>1000</v>
      </c>
      <c r="B98" s="1" t="s">
        <v>7</v>
      </c>
      <c r="C98" s="1" t="s">
        <v>13</v>
      </c>
      <c r="D98" s="1" t="s">
        <v>29</v>
      </c>
      <c r="E98" s="1" t="str">
        <f>_xlfn.XLOOKUP(operations[[#This Row],[Category]], categories[Category], categories[Type], " ", 0, 1)</f>
        <v>transfer</v>
      </c>
      <c r="F98" s="3">
        <v>45458</v>
      </c>
      <c r="G98" s="1">
        <f>MONTH(operations[[#This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29</v>
      </c>
      <c r="E99" s="1" t="str">
        <f>_xlfn.XLOOKUP(operations[[#This Row],[Category]], categories[Category], categories[Type], " ", 0, 1)</f>
        <v>transfer</v>
      </c>
      <c r="F99" s="3">
        <v>45458</v>
      </c>
      <c r="G99" s="1">
        <f>MONTH(operations[[#This Row],[Date]])</f>
        <v>6</v>
      </c>
    </row>
    <row r="100" spans="1:7" x14ac:dyDescent="0.25">
      <c r="A100" s="2">
        <v>-100</v>
      </c>
      <c r="B100" s="1" t="s">
        <v>12</v>
      </c>
      <c r="C100" s="1" t="s">
        <v>8</v>
      </c>
      <c r="D100" s="1" t="s">
        <v>28</v>
      </c>
      <c r="E100" s="1" t="str">
        <f>_xlfn.XLOOKUP(operations[[#This Row],[Category]], categories[Category], categories[Type], " ", 0, 1)</f>
        <v>expense</v>
      </c>
      <c r="F100" s="3">
        <v>45458</v>
      </c>
      <c r="G100" s="1">
        <f>MONTH(operations[[#This Row],[Date]])</f>
        <v>6</v>
      </c>
    </row>
    <row r="101" spans="1:7" x14ac:dyDescent="0.25">
      <c r="A101" s="2">
        <v>-250</v>
      </c>
      <c r="B101" s="1" t="s">
        <v>7</v>
      </c>
      <c r="C101" s="1" t="s">
        <v>13</v>
      </c>
      <c r="D101" s="1" t="s">
        <v>9</v>
      </c>
      <c r="E101" s="1" t="str">
        <f>_xlfn.XLOOKUP(operations[[#This Row],[Category]], categories[Category], categories[Type], " ", 0, 1)</f>
        <v>expense</v>
      </c>
      <c r="F101" s="3">
        <v>45464</v>
      </c>
      <c r="G101" s="1">
        <f>MONTH(operations[[#This Row],[Date]])</f>
        <v>6</v>
      </c>
    </row>
    <row r="102" spans="1:7" x14ac:dyDescent="0.25">
      <c r="A102" s="2">
        <v>-250</v>
      </c>
      <c r="B102" s="1" t="s">
        <v>7</v>
      </c>
      <c r="C102" s="1" t="s">
        <v>13</v>
      </c>
      <c r="D102" s="1" t="s">
        <v>9</v>
      </c>
      <c r="E102" s="1" t="str">
        <f>_xlfn.XLOOKUP(operations[[#This Row],[Category]], categories[Category], categories[Type], " ", 0, 1)</f>
        <v>expense</v>
      </c>
      <c r="F102" s="3">
        <v>45471</v>
      </c>
      <c r="G102" s="1">
        <f>MONTH(operations[[#This Row],[Date]])</f>
        <v>6</v>
      </c>
    </row>
    <row r="103" spans="1:7" x14ac:dyDescent="0.25">
      <c r="A103" s="2">
        <v>-300</v>
      </c>
      <c r="B103" s="1" t="s">
        <v>7</v>
      </c>
      <c r="C103" s="1" t="s">
        <v>13</v>
      </c>
      <c r="D103" s="1" t="s">
        <v>22</v>
      </c>
      <c r="E103" s="1" t="str">
        <f>_xlfn.XLOOKUP(operations[[#This Row],[Category]], categories[Category], categories[Type], " ", 0, 1)</f>
        <v>expense</v>
      </c>
      <c r="F103" s="3">
        <v>45471</v>
      </c>
      <c r="G103" s="1">
        <f>MONTH(operations[[#This Row],[Date]])</f>
        <v>6</v>
      </c>
    </row>
    <row r="104" spans="1:7" x14ac:dyDescent="0.25">
      <c r="A104" s="2">
        <v>-50</v>
      </c>
      <c r="B104" s="1" t="s">
        <v>12</v>
      </c>
      <c r="C104" s="1" t="s">
        <v>8</v>
      </c>
      <c r="D104" s="1" t="s">
        <v>14</v>
      </c>
      <c r="E104" s="1" t="str">
        <f>_xlfn.XLOOKUP(operations[[#This Row],[Category]], categories[Category], categories[Type], " ", 0, 1)</f>
        <v>expense</v>
      </c>
      <c r="F104" s="3">
        <v>45472</v>
      </c>
      <c r="G104" s="1">
        <f>MONTH(operations[[#This Row],[Date]])</f>
        <v>6</v>
      </c>
    </row>
    <row r="105" spans="1:7" x14ac:dyDescent="0.25">
      <c r="A105" s="2">
        <v>400</v>
      </c>
      <c r="B105" s="1" t="s">
        <v>12</v>
      </c>
      <c r="C105" s="1" t="s">
        <v>8</v>
      </c>
      <c r="D105" s="1" t="s">
        <v>19</v>
      </c>
      <c r="E105" s="1" t="str">
        <f>_xlfn.XLOOKUP(operations[[#This Row],[Category]], categories[Category], categories[Type], " ", 0, 1)</f>
        <v>Income</v>
      </c>
      <c r="F105" s="3">
        <v>45472</v>
      </c>
      <c r="G105" s="1">
        <f>MONTH(operations[[#This Row],[Date]])</f>
        <v>6</v>
      </c>
    </row>
    <row r="106" spans="1:7" x14ac:dyDescent="0.25">
      <c r="A106" s="2">
        <v>-200</v>
      </c>
      <c r="B106" s="1" t="s">
        <v>24</v>
      </c>
      <c r="C106" s="1" t="s">
        <v>26</v>
      </c>
      <c r="D106" s="1" t="s">
        <v>20</v>
      </c>
      <c r="E106" s="1" t="str">
        <f>_xlfn.XLOOKUP(operations[[#This Row],[Category]], categories[Category], categories[Type], " ", 0, 1)</f>
        <v>expense</v>
      </c>
      <c r="F106" s="3">
        <v>45473</v>
      </c>
      <c r="G106" s="1">
        <f>MONTH(operations[[#This Row],[Date]])</f>
        <v>6</v>
      </c>
    </row>
    <row r="107" spans="1:7" x14ac:dyDescent="0.25">
      <c r="A107" s="2">
        <v>-30</v>
      </c>
      <c r="B107" s="1" t="s">
        <v>24</v>
      </c>
      <c r="C107" s="1" t="s">
        <v>25</v>
      </c>
      <c r="D107" s="1" t="s">
        <v>9</v>
      </c>
      <c r="E107" s="1" t="str">
        <f>_xlfn.XLOOKUP(operations[[#This Row],[Category]], categories[Category], categories[Type], " ", 0, 1)</f>
        <v>expense</v>
      </c>
      <c r="F107" s="3">
        <v>45476</v>
      </c>
      <c r="G107" s="1">
        <f>MONTH(operations[[#This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_xlfn.XLOOKUP(operations[[#This Row],[Category]], categories[Category], categories[Type], " ", 0, 1)</f>
        <v>expense</v>
      </c>
      <c r="F108" s="3">
        <v>45480</v>
      </c>
      <c r="G108" s="1">
        <f>MONTH(operations[[#This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10</v>
      </c>
      <c r="E109" s="1" t="str">
        <f>_xlfn.XLOOKUP(operations[[#This Row],[Category]], categories[Category], categories[Type], " ", 0, 1)</f>
        <v>Income</v>
      </c>
      <c r="F109" s="3">
        <v>45483</v>
      </c>
      <c r="G109" s="1">
        <f>MONTH(operations[[#This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11</v>
      </c>
      <c r="E110" s="1" t="str">
        <f>_xlfn.XLOOKUP(operations[[#This Row],[Category]], categories[Category], categories[Type], " ", 0, 1)</f>
        <v>expense</v>
      </c>
      <c r="F110" s="3">
        <v>45484</v>
      </c>
      <c r="G110" s="1">
        <f>MONTH(operations[[#This Row],[Date]])</f>
        <v>7</v>
      </c>
    </row>
    <row r="111" spans="1:7" x14ac:dyDescent="0.25">
      <c r="A111" s="2">
        <v>-40</v>
      </c>
      <c r="B111" s="1" t="s">
        <v>7</v>
      </c>
      <c r="C111" s="1" t="s">
        <v>13</v>
      </c>
      <c r="D111" s="1" t="s">
        <v>9</v>
      </c>
      <c r="E111" s="1" t="str">
        <f>_xlfn.XLOOKUP(operations[[#This Row],[Category]], categories[Category], categories[Type], " ", 0, 1)</f>
        <v>expense</v>
      </c>
      <c r="F111" s="3">
        <v>45487</v>
      </c>
      <c r="G111" s="1">
        <f>MONTH(operations[[#This Row],[Date]])</f>
        <v>7</v>
      </c>
    </row>
    <row r="112" spans="1:7" x14ac:dyDescent="0.25">
      <c r="A112" s="2">
        <v>1300</v>
      </c>
      <c r="B112" s="1" t="s">
        <v>7</v>
      </c>
      <c r="C112" s="1" t="s">
        <v>13</v>
      </c>
      <c r="D112" s="1" t="s">
        <v>29</v>
      </c>
      <c r="E112" s="1" t="str">
        <f>_xlfn.XLOOKUP(operations[[#This Row],[Category]], categories[Category], categories[Type], " ", 0, 1)</f>
        <v>transfer</v>
      </c>
      <c r="F112" s="3">
        <v>45488</v>
      </c>
      <c r="G112" s="1">
        <f>MONTH(operations[[#This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29</v>
      </c>
      <c r="E113" s="1" t="str">
        <f>_xlfn.XLOOKUP(operations[[#This Row],[Category]], categories[Category], categories[Type], " ", 0, 1)</f>
        <v>transfer</v>
      </c>
      <c r="F113" s="3">
        <v>45488</v>
      </c>
      <c r="G113" s="1">
        <f>MONTH(operations[[#This Row],[Date]])</f>
        <v>7</v>
      </c>
    </row>
    <row r="114" spans="1:7" x14ac:dyDescent="0.25">
      <c r="A114" s="2">
        <v>-300</v>
      </c>
      <c r="B114" s="1" t="s">
        <v>7</v>
      </c>
      <c r="C114" s="1" t="s">
        <v>16</v>
      </c>
      <c r="D114" s="1" t="s">
        <v>28</v>
      </c>
      <c r="E114" s="1" t="str">
        <f>_xlfn.XLOOKUP(operations[[#This Row],[Category]], categories[Category], categories[Type], " ", 0, 1)</f>
        <v>expense</v>
      </c>
      <c r="F114" s="3">
        <v>45489</v>
      </c>
      <c r="G114" s="1">
        <f>MONTH(operations[[#This Row],[Date]])</f>
        <v>7</v>
      </c>
    </row>
    <row r="115" spans="1:7" x14ac:dyDescent="0.25">
      <c r="A115" s="2">
        <v>800</v>
      </c>
      <c r="B115" s="1" t="s">
        <v>12</v>
      </c>
      <c r="C115" s="1" t="s">
        <v>18</v>
      </c>
      <c r="D115" s="1" t="s">
        <v>30</v>
      </c>
      <c r="E115" s="1" t="str">
        <f>_xlfn.XLOOKUP(operations[[#This Row],[Category]], categories[Category], categories[Type], " ", 0, 1)</f>
        <v>Income</v>
      </c>
      <c r="F115" s="3">
        <v>45491</v>
      </c>
      <c r="G115" s="1">
        <f>MONTH(operations[[#This Row],[Date]])</f>
        <v>7</v>
      </c>
    </row>
    <row r="116" spans="1:7" x14ac:dyDescent="0.25">
      <c r="A116" s="2">
        <v>-600</v>
      </c>
      <c r="B116" s="1" t="s">
        <v>12</v>
      </c>
      <c r="C116" s="1" t="s">
        <v>8</v>
      </c>
      <c r="D116" s="1" t="s">
        <v>20</v>
      </c>
      <c r="E116" s="1" t="str">
        <f>_xlfn.XLOOKUP(operations[[#This Row],[Category]], categories[Category], categories[Type], " ", 0, 1)</f>
        <v>expense</v>
      </c>
      <c r="F116" s="3">
        <v>45494</v>
      </c>
      <c r="G116" s="1">
        <f>MONTH(operations[[#This Row],[Date]])</f>
        <v>7</v>
      </c>
    </row>
    <row r="117" spans="1:7" x14ac:dyDescent="0.25">
      <c r="A117" s="2">
        <v>120</v>
      </c>
      <c r="B117" s="1" t="s">
        <v>7</v>
      </c>
      <c r="C117" s="1" t="s">
        <v>16</v>
      </c>
      <c r="D117" s="1" t="s">
        <v>27</v>
      </c>
      <c r="E117" s="1" t="str">
        <f>_xlfn.XLOOKUP(operations[[#This Row],[Category]], categories[Category], categories[Type], " ", 0, 1)</f>
        <v>Income</v>
      </c>
      <c r="F117" s="3">
        <v>45495</v>
      </c>
      <c r="G117" s="1">
        <f>MONTH(operations[[#This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21</v>
      </c>
      <c r="E118" s="1" t="str">
        <f>_xlfn.XLOOKUP(operations[[#This Row],[Category]], categories[Category], categories[Type], " ", 0, 1)</f>
        <v>expense</v>
      </c>
      <c r="F118" s="3">
        <v>45497</v>
      </c>
      <c r="G118" s="1">
        <f>MONTH(operations[[#This Row],[Date]])</f>
        <v>7</v>
      </c>
    </row>
    <row r="119" spans="1:7" x14ac:dyDescent="0.25">
      <c r="A119" s="2">
        <v>-50</v>
      </c>
      <c r="B119" s="1" t="s">
        <v>7</v>
      </c>
      <c r="C119" s="1" t="s">
        <v>13</v>
      </c>
      <c r="D119" s="1" t="s">
        <v>9</v>
      </c>
      <c r="E119" s="1" t="str">
        <f>_xlfn.XLOOKUP(operations[[#This Row],[Category]], categories[Category], categories[Type], " ", 0, 1)</f>
        <v>expense</v>
      </c>
      <c r="F119" s="3">
        <v>45499</v>
      </c>
      <c r="G119" s="1">
        <f>MONTH(operations[[#This Row],[Date]])</f>
        <v>7</v>
      </c>
    </row>
    <row r="120" spans="1:7" x14ac:dyDescent="0.25">
      <c r="A120" s="2">
        <v>250</v>
      </c>
      <c r="B120" s="1" t="s">
        <v>12</v>
      </c>
      <c r="C120" s="1" t="s">
        <v>18</v>
      </c>
      <c r="D120" s="1" t="s">
        <v>22</v>
      </c>
      <c r="E120" s="1" t="str">
        <f>_xlfn.XLOOKUP(operations[[#This Row],[Category]], categories[Category], categories[Type], " ", 0, 1)</f>
        <v>expense</v>
      </c>
      <c r="F120" s="3">
        <v>45502</v>
      </c>
      <c r="G120" s="1">
        <f>MONTH(operations[[#This Row],[Date]])</f>
        <v>7</v>
      </c>
    </row>
    <row r="121" spans="1:7" x14ac:dyDescent="0.25">
      <c r="A121" s="2">
        <v>500</v>
      </c>
      <c r="B121" s="1" t="s">
        <v>12</v>
      </c>
      <c r="C121" s="1" t="s">
        <v>8</v>
      </c>
      <c r="D121" s="1" t="s">
        <v>31</v>
      </c>
      <c r="E121" s="1" t="str">
        <f>_xlfn.XLOOKUP(operations[[#This Row],[Category]], categories[Category], categories[Type], " ", 0, 1)</f>
        <v>Income</v>
      </c>
      <c r="F121" s="3">
        <v>45503</v>
      </c>
      <c r="G121" s="1">
        <f>MONTH(operations[[#This Row],[Date]])</f>
        <v>7</v>
      </c>
    </row>
    <row r="122" spans="1:7" x14ac:dyDescent="0.25">
      <c r="A122" s="2">
        <v>-45</v>
      </c>
      <c r="B122" s="1" t="s">
        <v>7</v>
      </c>
      <c r="C122" s="1" t="s">
        <v>13</v>
      </c>
      <c r="D122" s="1" t="s">
        <v>9</v>
      </c>
      <c r="E122" s="1" t="str">
        <f>_xlfn.XLOOKUP(operations[[#This Row],[Category]], categories[Category], categories[Type], " ", 0, 1)</f>
        <v>expense</v>
      </c>
      <c r="F122" s="3">
        <v>45504</v>
      </c>
      <c r="G122" s="1">
        <f>MONTH(operations[[#This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9</v>
      </c>
      <c r="E123" s="1" t="str">
        <f>_xlfn.XLOOKUP(operations[[#This Row],[Category]], categories[Category], categories[Type], " ", 0, 1)</f>
        <v>expense</v>
      </c>
      <c r="F123" s="3">
        <v>45505</v>
      </c>
      <c r="G123" s="1">
        <f>MONTH(operations[[#This Row],[Date]])</f>
        <v>8</v>
      </c>
    </row>
    <row r="124" spans="1:7" x14ac:dyDescent="0.25">
      <c r="A124" s="2">
        <v>-1020</v>
      </c>
      <c r="B124" s="1" t="s">
        <v>7</v>
      </c>
      <c r="C124" s="1" t="s">
        <v>16</v>
      </c>
      <c r="D124" s="1" t="s">
        <v>29</v>
      </c>
      <c r="E124" s="1" t="str">
        <f>_xlfn.XLOOKUP(operations[[#This Row],[Category]], categories[Category], categories[Type], " ", 0, 1)</f>
        <v>transfer</v>
      </c>
      <c r="F124" s="3">
        <v>45505</v>
      </c>
      <c r="G124" s="1">
        <f>MONTH(operations[[#This Row],[Date]])</f>
        <v>8</v>
      </c>
    </row>
    <row r="125" spans="1:7" x14ac:dyDescent="0.25">
      <c r="A125" s="2">
        <v>-200</v>
      </c>
      <c r="B125" s="1" t="s">
        <v>12</v>
      </c>
      <c r="C125" s="1" t="s">
        <v>8</v>
      </c>
      <c r="D125" s="1" t="s">
        <v>21</v>
      </c>
      <c r="E125" s="1" t="str">
        <f>_xlfn.XLOOKUP(operations[[#This Row],[Category]], categories[Category], categories[Type], " ", 0, 1)</f>
        <v>expense</v>
      </c>
      <c r="F125" s="3">
        <v>45505</v>
      </c>
      <c r="G125" s="1">
        <f>MONTH(operations[[#This Row],[Date]])</f>
        <v>8</v>
      </c>
    </row>
    <row r="126" spans="1:7" x14ac:dyDescent="0.25">
      <c r="A126" s="2">
        <v>-70</v>
      </c>
      <c r="B126" s="1" t="s">
        <v>7</v>
      </c>
      <c r="C126" s="1" t="s">
        <v>13</v>
      </c>
      <c r="D126" s="1" t="s">
        <v>9</v>
      </c>
      <c r="E126" s="1" t="str">
        <f>_xlfn.XLOOKUP(operations[[#This Row],[Category]], categories[Category], categories[Type], " ", 0, 1)</f>
        <v>expense</v>
      </c>
      <c r="F126" s="3">
        <v>45513</v>
      </c>
      <c r="G126" s="1">
        <f>MONTH(operations[[#This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10</v>
      </c>
      <c r="E127" s="1" t="str">
        <f>_xlfn.XLOOKUP(operations[[#This Row],[Category]], categories[Category], categories[Type], " ", 0, 1)</f>
        <v>Income</v>
      </c>
      <c r="F127" s="3">
        <v>45514</v>
      </c>
      <c r="G127" s="1">
        <f>MONTH(operations[[#This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11</v>
      </c>
      <c r="E128" s="1" t="str">
        <f>_xlfn.XLOOKUP(operations[[#This Row],[Category]], categories[Category], categories[Type], " ", 0, 1)</f>
        <v>expense</v>
      </c>
      <c r="F128" s="3">
        <v>45515</v>
      </c>
      <c r="G128" s="1">
        <f>MONTH(operations[[#This Row],[Date]])</f>
        <v>8</v>
      </c>
    </row>
    <row r="129" spans="1:7" x14ac:dyDescent="0.25">
      <c r="A129" s="2">
        <v>-100</v>
      </c>
      <c r="B129" s="1" t="s">
        <v>12</v>
      </c>
      <c r="C129" s="1" t="s">
        <v>8</v>
      </c>
      <c r="D129" s="1" t="s">
        <v>20</v>
      </c>
      <c r="E129" s="1" t="str">
        <f>_xlfn.XLOOKUP(operations[[#This Row],[Category]], categories[Category], categories[Type], " ", 0, 1)</f>
        <v>expense</v>
      </c>
      <c r="F129" s="3">
        <v>45518</v>
      </c>
      <c r="G129" s="1">
        <f>MONTH(operations[[#This Row],[Date]])</f>
        <v>8</v>
      </c>
    </row>
    <row r="130" spans="1:7" x14ac:dyDescent="0.25">
      <c r="A130" s="2">
        <v>135</v>
      </c>
      <c r="B130" s="1" t="s">
        <v>7</v>
      </c>
      <c r="C130" s="1" t="s">
        <v>13</v>
      </c>
      <c r="D130" s="1" t="s">
        <v>29</v>
      </c>
      <c r="E130" s="1" t="str">
        <f>_xlfn.XLOOKUP(operations[[#This Row],[Category]], categories[Category], categories[Type], " ", 0, 1)</f>
        <v>transfer</v>
      </c>
      <c r="F130" s="3">
        <v>45519</v>
      </c>
      <c r="G130" s="1">
        <f>MONTH(operations[[#This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29</v>
      </c>
      <c r="E131" s="1" t="str">
        <f>_xlfn.XLOOKUP(operations[[#This Row],[Category]], categories[Category], categories[Type], " ", 0, 1)</f>
        <v>transfer</v>
      </c>
      <c r="F131" s="3">
        <v>45519</v>
      </c>
      <c r="G131" s="1">
        <f>MONTH(operations[[#This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28</v>
      </c>
      <c r="E132" s="1" t="str">
        <f>_xlfn.XLOOKUP(operations[[#This Row],[Category]], categories[Category], categories[Type], " ", 0, 1)</f>
        <v>expense</v>
      </c>
      <c r="F132" s="3">
        <v>45520</v>
      </c>
      <c r="G132" s="1">
        <f>MONTH(operations[[#This Row],[Date]])</f>
        <v>8</v>
      </c>
    </row>
    <row r="133" spans="1:7" x14ac:dyDescent="0.25">
      <c r="A133" s="2">
        <v>-32</v>
      </c>
      <c r="B133" s="1" t="s">
        <v>7</v>
      </c>
      <c r="C133" s="1" t="s">
        <v>13</v>
      </c>
      <c r="D133" s="1" t="s">
        <v>9</v>
      </c>
      <c r="E133" s="1" t="str">
        <f>_xlfn.XLOOKUP(operations[[#This Row],[Category]], categories[Category], categories[Type], " ", 0, 1)</f>
        <v>expense</v>
      </c>
      <c r="F133" s="3">
        <v>45522</v>
      </c>
      <c r="G133" s="1">
        <f>MONTH(operations[[#This Row],[Date]])</f>
        <v>8</v>
      </c>
    </row>
    <row r="134" spans="1:7" x14ac:dyDescent="0.25">
      <c r="A134" s="2">
        <v>200</v>
      </c>
      <c r="B134" s="1" t="s">
        <v>24</v>
      </c>
      <c r="C134" s="1" t="s">
        <v>26</v>
      </c>
      <c r="D134" s="1" t="s">
        <v>30</v>
      </c>
      <c r="E134" s="1" t="str">
        <f>_xlfn.XLOOKUP(operations[[#This Row],[Category]], categories[Category], categories[Type], " ", 0, 1)</f>
        <v>Income</v>
      </c>
      <c r="F134" s="3">
        <v>45524</v>
      </c>
      <c r="G134" s="1">
        <f>MONTH(operations[[#This Row],[Date]])</f>
        <v>8</v>
      </c>
    </row>
    <row r="135" spans="1:7" x14ac:dyDescent="0.25">
      <c r="A135" s="2">
        <v>-150</v>
      </c>
      <c r="B135" s="1" t="s">
        <v>24</v>
      </c>
      <c r="C135" s="1" t="s">
        <v>26</v>
      </c>
      <c r="D135" s="1" t="s">
        <v>20</v>
      </c>
      <c r="E135" s="1" t="str">
        <f>_xlfn.XLOOKUP(operations[[#This Row],[Category]], categories[Category], categories[Type], " ", 0, 1)</f>
        <v>expense</v>
      </c>
      <c r="F135" s="3">
        <v>45526</v>
      </c>
      <c r="G135" s="1">
        <f>MONTH(operations[[#This Row],[Date]])</f>
        <v>8</v>
      </c>
    </row>
    <row r="136" spans="1:7" x14ac:dyDescent="0.25">
      <c r="A136" s="2">
        <v>-47.5</v>
      </c>
      <c r="B136" s="1" t="s">
        <v>24</v>
      </c>
      <c r="C136" s="1" t="s">
        <v>26</v>
      </c>
      <c r="D136" s="1" t="s">
        <v>9</v>
      </c>
      <c r="E136" s="1" t="str">
        <f>_xlfn.XLOOKUP(operations[[#This Row],[Category]], categories[Category], categories[Type], " ", 0, 1)</f>
        <v>expense</v>
      </c>
      <c r="F136" s="3">
        <v>45527</v>
      </c>
      <c r="G136" s="1">
        <f>MONTH(operations[[#This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21</v>
      </c>
      <c r="E137" s="1" t="str">
        <f>_xlfn.XLOOKUP(operations[[#This Row],[Category]], categories[Category], categories[Type], " ", 0, 1)</f>
        <v>expense</v>
      </c>
      <c r="F137" s="3">
        <v>45528</v>
      </c>
      <c r="G137" s="1">
        <f>MONTH(operations[[#This Row],[Date]])</f>
        <v>8</v>
      </c>
    </row>
    <row r="138" spans="1:7" x14ac:dyDescent="0.25">
      <c r="A138" s="2">
        <v>-300</v>
      </c>
      <c r="B138" s="1" t="s">
        <v>12</v>
      </c>
      <c r="C138" s="1" t="s">
        <v>18</v>
      </c>
      <c r="D138" s="1" t="s">
        <v>22</v>
      </c>
      <c r="E138" s="1" t="str">
        <f>_xlfn.XLOOKUP(operations[[#This Row],[Category]], categories[Category], categories[Type], " ", 0, 1)</f>
        <v>expense</v>
      </c>
      <c r="F138" s="3">
        <v>45531</v>
      </c>
      <c r="G138" s="1">
        <f>MONTH(operations[[#This Row],[Date]])</f>
        <v>8</v>
      </c>
    </row>
    <row r="139" spans="1:7" x14ac:dyDescent="0.25">
      <c r="A139" s="2">
        <v>500</v>
      </c>
      <c r="B139" s="1" t="s">
        <v>12</v>
      </c>
      <c r="C139" s="1" t="s">
        <v>8</v>
      </c>
      <c r="D139" s="1" t="s">
        <v>31</v>
      </c>
      <c r="E139" s="1" t="str">
        <f>_xlfn.XLOOKUP(operations[[#This Row],[Category]], categories[Category], categories[Type], " ", 0, 1)</f>
        <v>Income</v>
      </c>
      <c r="F139" s="3">
        <v>45534</v>
      </c>
      <c r="G139" s="1">
        <f>MONTH(operations[[#This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30</v>
      </c>
      <c r="E140" s="1" t="str">
        <f>_xlfn.XLOOKUP(operations[[#This Row],[Category]], categories[Category], categories[Type], " ", 0, 1)</f>
        <v>Income</v>
      </c>
      <c r="F140" s="3">
        <v>45535</v>
      </c>
      <c r="G140" s="1">
        <f>MONTH(operations[[#This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21</v>
      </c>
      <c r="E141" s="1" t="str">
        <f>_xlfn.XLOOKUP(operations[[#This Row],[Category]], categories[Category], categories[Type], " ", 0, 1)</f>
        <v>expense</v>
      </c>
      <c r="F141" s="3">
        <v>45536</v>
      </c>
      <c r="G141" s="1">
        <f>MONTH(operations[[#This Row],[Date]])</f>
        <v>9</v>
      </c>
    </row>
    <row r="142" spans="1:7" x14ac:dyDescent="0.25">
      <c r="A142" s="2">
        <v>-20</v>
      </c>
      <c r="B142" s="1" t="s">
        <v>12</v>
      </c>
      <c r="C142" s="1" t="s">
        <v>8</v>
      </c>
      <c r="D142" s="1" t="s">
        <v>9</v>
      </c>
      <c r="E142" s="1" t="str">
        <f>_xlfn.XLOOKUP(operations[[#This Row],[Category]], categories[Category], categories[Type], " ", 0, 1)</f>
        <v>expense</v>
      </c>
      <c r="F142" s="3">
        <v>45539</v>
      </c>
      <c r="G142" s="1">
        <f>MONTH(operations[[#This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14</v>
      </c>
      <c r="E143" s="1" t="str">
        <f>_xlfn.XLOOKUP(operations[[#This Row],[Category]], categories[Category], categories[Type], " ", 0, 1)</f>
        <v>expense</v>
      </c>
      <c r="F143" s="3">
        <v>45542</v>
      </c>
      <c r="G143" s="1">
        <f>MONTH(operations[[#This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9</v>
      </c>
      <c r="E144" s="1" t="str">
        <f>_xlfn.XLOOKUP(operations[[#This Row],[Category]], categories[Category], categories[Type], " ", 0, 1)</f>
        <v>expense</v>
      </c>
      <c r="F144" s="3">
        <v>45543</v>
      </c>
      <c r="G144" s="1">
        <f>MONTH(operations[[#This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10</v>
      </c>
      <c r="E145" s="1" t="str">
        <f>_xlfn.XLOOKUP(operations[[#This Row],[Category]], categories[Category], categories[Type], " ", 0, 1)</f>
        <v>Income</v>
      </c>
      <c r="F145" s="3">
        <v>45545</v>
      </c>
      <c r="G145" s="1">
        <f>MONTH(operations[[#This Row],[Date]])</f>
        <v>9</v>
      </c>
    </row>
    <row r="146" spans="1:7" x14ac:dyDescent="0.25">
      <c r="A146" s="2">
        <v>-20</v>
      </c>
      <c r="B146" s="1" t="s">
        <v>7</v>
      </c>
      <c r="C146" s="1" t="s">
        <v>13</v>
      </c>
      <c r="D146" s="1" t="s">
        <v>20</v>
      </c>
      <c r="E146" s="1" t="str">
        <f>_xlfn.XLOOKUP(operations[[#This Row],[Category]], categories[Category], categories[Type], " ", 0, 1)</f>
        <v>expense</v>
      </c>
      <c r="F146" s="3">
        <v>45546</v>
      </c>
      <c r="G146" s="1">
        <f>MONTH(operations[[#This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11</v>
      </c>
      <c r="E147" s="1" t="str">
        <f>_xlfn.XLOOKUP(operations[[#This Row],[Category]], categories[Category], categories[Type], " ", 0, 1)</f>
        <v>expense</v>
      </c>
      <c r="F147" s="3">
        <v>45546</v>
      </c>
      <c r="G147" s="1">
        <f>MONTH(operations[[#This Row],[Date]])</f>
        <v>9</v>
      </c>
    </row>
    <row r="148" spans="1:7" x14ac:dyDescent="0.25">
      <c r="A148" s="2">
        <v>102</v>
      </c>
      <c r="B148" s="1" t="s">
        <v>7</v>
      </c>
      <c r="C148" s="1" t="s">
        <v>13</v>
      </c>
      <c r="D148" s="1" t="s">
        <v>29</v>
      </c>
      <c r="E148" s="1" t="str">
        <f>_xlfn.XLOOKUP(operations[[#This Row],[Category]], categories[Category], categories[Type], " ", 0, 1)</f>
        <v>transfer</v>
      </c>
      <c r="F148" s="3">
        <v>45550</v>
      </c>
      <c r="G148" s="1">
        <f>MONTH(operations[[#This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29</v>
      </c>
      <c r="E149" s="1" t="str">
        <f>_xlfn.XLOOKUP(operations[[#This Row],[Category]], categories[Category], categories[Type], " ", 0, 1)</f>
        <v>transfer</v>
      </c>
      <c r="F149" s="3">
        <v>45550</v>
      </c>
      <c r="G149" s="1">
        <f>MONTH(operations[[#This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9</v>
      </c>
      <c r="E150" s="1" t="str">
        <f>_xlfn.XLOOKUP(operations[[#This Row],[Category]], categories[Category], categories[Type], " ", 0, 1)</f>
        <v>expense</v>
      </c>
      <c r="F150" s="3">
        <v>45553</v>
      </c>
      <c r="G150" s="1">
        <f>MONTH(operations[[#This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21</v>
      </c>
      <c r="E151" s="1" t="str">
        <f>_xlfn.XLOOKUP(operations[[#This Row],[Category]], categories[Category], categories[Type], " ", 0, 1)</f>
        <v>expense</v>
      </c>
      <c r="F151" s="3">
        <v>45566</v>
      </c>
      <c r="G151" s="1">
        <f>MONTH(operations[[#This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14</v>
      </c>
      <c r="E152" s="1" t="str">
        <f>_xlfn.XLOOKUP(operations[[#This Row],[Category]], categories[Category], categories[Type], " ", 0, 1)</f>
        <v>expense</v>
      </c>
      <c r="F152" s="3">
        <v>45572</v>
      </c>
      <c r="G152" s="1">
        <f>MONTH(operations[[#This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9</v>
      </c>
      <c r="E153" s="1" t="str">
        <f>_xlfn.XLOOKUP(operations[[#This Row],[Category]], categories[Category], categories[Type], " ", 0, 1)</f>
        <v>expense</v>
      </c>
      <c r="F153" s="3">
        <v>45573</v>
      </c>
      <c r="G153" s="1">
        <f>MONTH(operations[[#This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10</v>
      </c>
      <c r="E154" s="1" t="str">
        <f>_xlfn.XLOOKUP(operations[[#This Row],[Category]], categories[Category], categories[Type], " ", 0, 1)</f>
        <v>Income</v>
      </c>
      <c r="F154" s="3">
        <v>45575</v>
      </c>
      <c r="G154" s="1">
        <f>MONTH(operations[[#This Row],[Date]])</f>
        <v>10</v>
      </c>
    </row>
    <row r="155" spans="1:7" x14ac:dyDescent="0.25">
      <c r="A155" s="2">
        <v>-40</v>
      </c>
      <c r="B155" s="1" t="s">
        <v>7</v>
      </c>
      <c r="C155" s="1" t="s">
        <v>13</v>
      </c>
      <c r="D155" s="1" t="s">
        <v>20</v>
      </c>
      <c r="E155" s="1" t="str">
        <f>_xlfn.XLOOKUP(operations[[#This Row],[Category]], categories[Category], categories[Type], " ", 0, 1)</f>
        <v>expense</v>
      </c>
      <c r="F155" s="3">
        <v>45576</v>
      </c>
      <c r="G155" s="1">
        <f>MONTH(operations[[#This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11</v>
      </c>
      <c r="E156" s="1" t="str">
        <f>_xlfn.XLOOKUP(operations[[#This Row],[Category]], categories[Category], categories[Type], " ", 0, 1)</f>
        <v>expense</v>
      </c>
      <c r="F156" s="3">
        <v>45576</v>
      </c>
      <c r="G156" s="1">
        <f>MONTH(operations[[#This Row],[Date]])</f>
        <v>10</v>
      </c>
    </row>
    <row r="157" spans="1:7" x14ac:dyDescent="0.25">
      <c r="A157" s="2">
        <v>20</v>
      </c>
      <c r="B157" s="1" t="s">
        <v>7</v>
      </c>
      <c r="C157" s="1" t="s">
        <v>13</v>
      </c>
      <c r="D157" s="1" t="s">
        <v>29</v>
      </c>
      <c r="E157" s="1" t="str">
        <f>_xlfn.XLOOKUP(operations[[#This Row],[Category]], categories[Category], categories[Type], " ", 0, 1)</f>
        <v>transfer</v>
      </c>
      <c r="F157" s="3">
        <v>45580</v>
      </c>
      <c r="G157" s="1">
        <f>MONTH(operations[[#This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29</v>
      </c>
      <c r="E158" s="1" t="str">
        <f>_xlfn.XLOOKUP(operations[[#This Row],[Category]], categories[Category], categories[Type], " ", 0, 1)</f>
        <v>transfer</v>
      </c>
      <c r="F158" s="3">
        <v>45580</v>
      </c>
      <c r="G158" s="1">
        <f>MONTH(operations[[#This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10</v>
      </c>
      <c r="E159" s="1" t="str">
        <f>_xlfn.XLOOKUP(operations[[#This Row],[Category]], categories[Category], categories[Type], " ", 0, 1)</f>
        <v>Income</v>
      </c>
      <c r="F159" s="3">
        <v>45606</v>
      </c>
      <c r="G159" s="1">
        <f>MONTH(operations[[#This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11</v>
      </c>
      <c r="E160" s="1" t="str">
        <f>_xlfn.XLOOKUP(operations[[#This Row],[Category]], categories[Category], categories[Type], " ", 0, 1)</f>
        <v>expense</v>
      </c>
      <c r="F160" s="3">
        <v>45607</v>
      </c>
      <c r="G160" s="1">
        <f>MONTH(operations[[#This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21</v>
      </c>
      <c r="E161" s="1" t="str">
        <f>_xlfn.XLOOKUP(operations[[#This Row],[Category]], categories[Category], categories[Type], " ", 0, 1)</f>
        <v>expense</v>
      </c>
      <c r="F161" s="3">
        <v>45607</v>
      </c>
      <c r="G161" s="1">
        <f>MONTH(operations[[#This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9</v>
      </c>
      <c r="E162" s="1" t="str">
        <f>_xlfn.XLOOKUP(operations[[#This Row],[Category]], categories[Category], categories[Type], " ", 0, 1)</f>
        <v>expense</v>
      </c>
      <c r="F162" s="3">
        <v>45607</v>
      </c>
      <c r="G162" s="1">
        <f>MONTH(operations[[#This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14</v>
      </c>
      <c r="E163" s="1" t="str">
        <f>_xlfn.XLOOKUP(operations[[#This Row],[Category]], categories[Category], categories[Type], " ", 0, 1)</f>
        <v>expense</v>
      </c>
      <c r="F163" s="3">
        <v>45608</v>
      </c>
      <c r="G163" s="1">
        <f>MONTH(operations[[#This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_xlfn.XLOOKUP(operations[[#This Row],[Category]], categories[Category], categories[Type], " ", 0, 1)</f>
        <v>expense</v>
      </c>
      <c r="F164" s="3">
        <v>45610</v>
      </c>
      <c r="G164" s="1">
        <f>MONTH(operations[[#This Row],[Date]])</f>
        <v>11</v>
      </c>
    </row>
    <row r="165" spans="1:7" x14ac:dyDescent="0.25">
      <c r="A165" s="2">
        <v>40</v>
      </c>
      <c r="B165" s="1" t="s">
        <v>7</v>
      </c>
      <c r="C165" s="1" t="s">
        <v>13</v>
      </c>
      <c r="D165" s="1" t="s">
        <v>29</v>
      </c>
      <c r="E165" s="1" t="str">
        <f>_xlfn.XLOOKUP(operations[[#This Row],[Category]], categories[Category], categories[Type], " ", 0, 1)</f>
        <v>transfer</v>
      </c>
      <c r="F165" s="3">
        <v>45611</v>
      </c>
      <c r="G165" s="1">
        <f>MONTH(operations[[#This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29</v>
      </c>
      <c r="E166" s="1" t="str">
        <f>_xlfn.XLOOKUP(operations[[#This Row],[Category]], categories[Category], categories[Type], " ", 0, 1)</f>
        <v>transfer</v>
      </c>
      <c r="F166" s="3">
        <v>45611</v>
      </c>
      <c r="G166" s="1">
        <f>MONTH(operations[[#This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9</v>
      </c>
      <c r="E167" s="1" t="str">
        <f>_xlfn.XLOOKUP(operations[[#This Row],[Category]], categories[Category], categories[Type], " ", 0, 1)</f>
        <v>expense</v>
      </c>
      <c r="F167" s="3">
        <v>45612</v>
      </c>
      <c r="G167" s="1">
        <f>MONTH(operations[[#This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28</v>
      </c>
      <c r="E168" s="1" t="str">
        <f>_xlfn.XLOOKUP(operations[[#This Row],[Category]], categories[Category], categories[Type], " ", 0, 1)</f>
        <v>expense</v>
      </c>
      <c r="F168" s="3">
        <v>45613</v>
      </c>
      <c r="G168" s="1">
        <f>MONTH(operations[[#This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21</v>
      </c>
      <c r="E169" s="1" t="str">
        <f>_xlfn.XLOOKUP(operations[[#This Row],[Category]], categories[Category], categories[Type], " ", 0, 1)</f>
        <v>expense</v>
      </c>
      <c r="F169" s="3">
        <v>45613</v>
      </c>
      <c r="G169" s="1">
        <f>MONTH(operations[[#This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9</v>
      </c>
      <c r="E170" s="1" t="str">
        <f>_xlfn.XLOOKUP(operations[[#This Row],[Category]], categories[Category], categories[Type], " ", 0, 1)</f>
        <v>expense</v>
      </c>
      <c r="F170" s="3">
        <v>45615</v>
      </c>
      <c r="G170" s="1">
        <f>MONTH(operations[[#This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_xlfn.XLOOKUP(operations[[#This Row],[Category]], categories[Category], categories[Type], " ", 0, 1)</f>
        <v>expense</v>
      </c>
      <c r="F171" s="3">
        <v>45616</v>
      </c>
      <c r="G171" s="1">
        <f>MONTH(operations[[#This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17</v>
      </c>
      <c r="E172" s="1" t="str">
        <f>_xlfn.XLOOKUP(operations[[#This Row],[Category]], categories[Category], categories[Type], " ", 0, 1)</f>
        <v>expense</v>
      </c>
      <c r="F172" s="3">
        <v>45617</v>
      </c>
      <c r="G172" s="1">
        <f>MONTH(operations[[#This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_xlfn.XLOOKUP(operations[[#This Row],[Category]], categories[Category], categories[Type], " ", 0, 1)</f>
        <v>expense</v>
      </c>
      <c r="F173" s="3">
        <v>45618</v>
      </c>
      <c r="G173" s="1">
        <f>MONTH(operations[[#This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9</v>
      </c>
      <c r="E174" s="1" t="str">
        <f>_xlfn.XLOOKUP(operations[[#This Row],[Category]], categories[Category], categories[Type], " ", 0, 1)</f>
        <v>expense</v>
      </c>
      <c r="F174" s="3">
        <v>45618</v>
      </c>
      <c r="G174" s="1">
        <f>MONTH(operations[[#This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28</v>
      </c>
      <c r="E175" s="1" t="str">
        <f>_xlfn.XLOOKUP(operations[[#This Row],[Category]], categories[Category], categories[Type], " ", 0, 1)</f>
        <v>expense</v>
      </c>
      <c r="F175" s="3">
        <v>45618</v>
      </c>
      <c r="G175" s="1">
        <f>MONTH(operations[[#This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14</v>
      </c>
      <c r="E176" s="1" t="str">
        <f>_xlfn.XLOOKUP(operations[[#This Row],[Category]], categories[Category], categories[Type], " ", 0, 1)</f>
        <v>expense</v>
      </c>
      <c r="F176" s="3">
        <v>45619</v>
      </c>
      <c r="G176" s="1">
        <f>MONTH(operations[[#This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21</v>
      </c>
      <c r="E177" s="1" t="str">
        <f>_xlfn.XLOOKUP(operations[[#This Row],[Category]], categories[Category], categories[Type], " ", 0, 1)</f>
        <v>expense</v>
      </c>
      <c r="F177" s="3">
        <v>45619</v>
      </c>
      <c r="G177" s="1">
        <f>MONTH(operations[[#This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_xlfn.XLOOKUP(operations[[#This Row],[Category]], categories[Category], categories[Type], " ", 0, 1)</f>
        <v>expense</v>
      </c>
      <c r="F178" s="3">
        <v>45621</v>
      </c>
      <c r="G178" s="1">
        <f>MONTH(operations[[#This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9</v>
      </c>
      <c r="E179" s="1" t="str">
        <f>_xlfn.XLOOKUP(operations[[#This Row],[Category]], categories[Category], categories[Type], " ", 0, 1)</f>
        <v>expense</v>
      </c>
      <c r="F179" s="3">
        <v>45622</v>
      </c>
      <c r="G179" s="1">
        <f>MONTH(operations[[#This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21</v>
      </c>
      <c r="E180" s="1" t="str">
        <f>_xlfn.XLOOKUP(operations[[#This Row],[Category]], categories[Category], categories[Type], " ", 0, 1)</f>
        <v>expense</v>
      </c>
      <c r="F180" s="3">
        <v>45623</v>
      </c>
      <c r="G180" s="1">
        <f>MONTH(operations[[#This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_xlfn.XLOOKUP(operations[[#This Row],[Category]], categories[Category], categories[Type], " ", 0, 1)</f>
        <v>expense</v>
      </c>
      <c r="F181" s="3">
        <v>45623</v>
      </c>
      <c r="G181" s="1">
        <f>MONTH(operations[[#This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21</v>
      </c>
      <c r="E182" s="1" t="str">
        <f>_xlfn.XLOOKUP(operations[[#This Row],[Category]], categories[Category], categories[Type], " ", 0, 1)</f>
        <v>expense</v>
      </c>
      <c r="F182" s="3">
        <v>45623</v>
      </c>
      <c r="G182" s="1">
        <f>MONTH(operations[[#This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17</v>
      </c>
      <c r="E183" s="1" t="str">
        <f>_xlfn.XLOOKUP(operations[[#This Row],[Category]], categories[Category], categories[Type], " ", 0, 1)</f>
        <v>expense</v>
      </c>
      <c r="F183" s="3">
        <v>45624</v>
      </c>
      <c r="G183" s="1">
        <f>MONTH(operations[[#This Row],[Date]])</f>
        <v>11</v>
      </c>
    </row>
    <row r="184" spans="1:7" x14ac:dyDescent="0.25">
      <c r="A184" s="2">
        <v>400</v>
      </c>
      <c r="B184" s="1" t="s">
        <v>24</v>
      </c>
      <c r="C184" s="1" t="s">
        <v>26</v>
      </c>
      <c r="D184" s="1" t="s">
        <v>30</v>
      </c>
      <c r="E184" s="1" t="str">
        <f>_xlfn.XLOOKUP(operations[[#This Row],[Category]], categories[Category], categories[Type], " ", 0, 1)</f>
        <v>Income</v>
      </c>
      <c r="F184" s="3">
        <v>45625</v>
      </c>
      <c r="G184" s="1">
        <f>MONTH(operations[[#This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9</v>
      </c>
      <c r="E185" s="1" t="str">
        <f>_xlfn.XLOOKUP(operations[[#This Row],[Category]], categories[Category], categories[Type], " ", 0, 1)</f>
        <v>expense</v>
      </c>
      <c r="F185" s="3">
        <v>45626</v>
      </c>
      <c r="G185" s="1">
        <f>MONTH(operations[[#This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9</v>
      </c>
      <c r="E186" s="1" t="str">
        <f>_xlfn.XLOOKUP(operations[[#This Row],[Category]], categories[Category], categories[Type], " ", 0, 1)</f>
        <v>expense</v>
      </c>
      <c r="F186" s="3">
        <v>45627</v>
      </c>
      <c r="G186" s="1">
        <f>MONTH(operations[[#This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9</v>
      </c>
      <c r="E187" s="1" t="str">
        <f>_xlfn.XLOOKUP(operations[[#This Row],[Category]], categories[Category], categories[Type], " ", 0, 1)</f>
        <v>expense</v>
      </c>
      <c r="F187" s="3">
        <v>45627</v>
      </c>
      <c r="G187" s="1">
        <f>MONTH(operations[[#This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28</v>
      </c>
      <c r="E188" s="1" t="str">
        <f>_xlfn.XLOOKUP(operations[[#This Row],[Category]], categories[Category], categories[Type], " ", 0, 1)</f>
        <v>expense</v>
      </c>
      <c r="F188" s="3">
        <v>45628</v>
      </c>
      <c r="G188" s="1">
        <f>MONTH(operations[[#This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17</v>
      </c>
      <c r="E189" s="1" t="str">
        <f>_xlfn.XLOOKUP(operations[[#This Row],[Category]], categories[Category], categories[Type], " ", 0, 1)</f>
        <v>expense</v>
      </c>
      <c r="F189" s="3">
        <v>45628</v>
      </c>
      <c r="G189" s="1">
        <f>MONTH(operations[[#This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_xlfn.XLOOKUP(operations[[#This Row],[Category]], categories[Category], categories[Type], " ", 0, 1)</f>
        <v>expense</v>
      </c>
      <c r="F190" s="3">
        <v>45628</v>
      </c>
      <c r="G190" s="1">
        <f>MONTH(operations[[#This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28</v>
      </c>
      <c r="E191" s="1" t="str">
        <f>_xlfn.XLOOKUP(operations[[#This Row],[Category]], categories[Category], categories[Type], " ", 0, 1)</f>
        <v>expense</v>
      </c>
      <c r="F191" s="3">
        <v>45628</v>
      </c>
      <c r="G191" s="1">
        <f>MONTH(operations[[#This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17</v>
      </c>
      <c r="E192" s="1" t="str">
        <f>_xlfn.XLOOKUP(operations[[#This Row],[Category]], categories[Category], categories[Type], " ", 0, 1)</f>
        <v>expense</v>
      </c>
      <c r="F192" s="3">
        <v>45628</v>
      </c>
      <c r="G192" s="1">
        <f>MONTH(operations[[#This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_xlfn.XLOOKUP(operations[[#This Row],[Category]], categories[Category], categories[Type], " ", 0, 1)</f>
        <v>expense</v>
      </c>
      <c r="F193" s="3">
        <v>45628</v>
      </c>
      <c r="G193" s="1">
        <f>MONTH(operations[[#This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_xlfn.XLOOKUP(operations[[#This Row],[Category]], categories[Category], categories[Type], " ", 0, 1)</f>
        <v>expense</v>
      </c>
      <c r="F194" s="3">
        <v>45629</v>
      </c>
      <c r="G194" s="1">
        <f>MONTH(operations[[#This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_xlfn.XLOOKUP(operations[[#This Row],[Category]], categories[Category], categories[Type], " ", 0, 1)</f>
        <v>expense</v>
      </c>
      <c r="F195" s="3">
        <v>45629</v>
      </c>
      <c r="G195" s="1">
        <f>MONTH(operations[[#This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9</v>
      </c>
      <c r="E196" s="1" t="str">
        <f>_xlfn.XLOOKUP(operations[[#This Row],[Category]], categories[Category], categories[Type], " ", 0, 1)</f>
        <v>expense</v>
      </c>
      <c r="F196" s="3">
        <v>45632</v>
      </c>
      <c r="G196" s="1">
        <f>MONTH(operations[[#This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9</v>
      </c>
      <c r="E197" s="1" t="str">
        <f>_xlfn.XLOOKUP(operations[[#This Row],[Category]], categories[Category], categories[Type], " ", 0, 1)</f>
        <v>expense</v>
      </c>
      <c r="F197" s="3">
        <v>45632</v>
      </c>
      <c r="G197" s="1">
        <f>MONTH(operations[[#This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10</v>
      </c>
      <c r="E198" s="1" t="str">
        <f>_xlfn.XLOOKUP(operations[[#This Row],[Category]], categories[Category], categories[Type], " ", 0, 1)</f>
        <v>Income</v>
      </c>
      <c r="F198" s="3">
        <v>45636</v>
      </c>
      <c r="G198" s="1">
        <f>MONTH(operations[[#This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11</v>
      </c>
      <c r="E199" s="1" t="str">
        <f>_xlfn.XLOOKUP(operations[[#This Row],[Category]], categories[Category], categories[Type], " ", 0, 1)</f>
        <v>expense</v>
      </c>
      <c r="F199" s="3">
        <v>45637</v>
      </c>
      <c r="G199" s="1">
        <f>MONTH(operations[[#This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_xlfn.XLOOKUP(operations[[#This Row],[Category]], categories[Category], categories[Type], " ", 0, 1)</f>
        <v>expense</v>
      </c>
      <c r="F200" s="3">
        <v>45640</v>
      </c>
      <c r="G200" s="1">
        <f>MONTH(operations[[#This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_xlfn.XLOOKUP(operations[[#This Row],[Category]], categories[Category], categories[Type], " ", 0, 1)</f>
        <v>expense</v>
      </c>
      <c r="F201" s="3">
        <v>45641</v>
      </c>
      <c r="G201" s="1">
        <f>MONTH(operations[[#This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9</v>
      </c>
      <c r="E202" s="1" t="str">
        <f>_xlfn.XLOOKUP(operations[[#This Row],[Category]], categories[Category], categories[Type], " ", 0, 1)</f>
        <v>expense</v>
      </c>
      <c r="F202" s="3">
        <v>45644</v>
      </c>
      <c r="G202" s="1">
        <f>MONTH(operations[[#This Row],[Date]])</f>
        <v>12</v>
      </c>
    </row>
    <row r="203" spans="1:7" x14ac:dyDescent="0.25">
      <c r="A203" s="2">
        <v>500</v>
      </c>
      <c r="B203" s="1" t="s">
        <v>24</v>
      </c>
      <c r="C203" s="1" t="s">
        <v>26</v>
      </c>
      <c r="D203" s="1" t="s">
        <v>30</v>
      </c>
      <c r="E203" s="1" t="str">
        <f>_xlfn.XLOOKUP(operations[[#This Row],[Category]], categories[Category], categories[Type], " ", 0, 1)</f>
        <v>Income</v>
      </c>
      <c r="F203" s="3">
        <v>45648</v>
      </c>
      <c r="G203" s="1">
        <f>MONTH(operations[[#This Row],[Date]])</f>
        <v>12</v>
      </c>
    </row>
    <row r="204" spans="1:7" x14ac:dyDescent="0.25">
      <c r="A204" s="2">
        <v>-100</v>
      </c>
      <c r="B204" s="1" t="s">
        <v>24</v>
      </c>
      <c r="C204" s="1" t="s">
        <v>26</v>
      </c>
      <c r="D204" s="1" t="s">
        <v>20</v>
      </c>
      <c r="E204" s="1" t="str">
        <f>_xlfn.XLOOKUP(operations[[#This Row],[Category]], categories[Category], categories[Type], " ", 0, 1)</f>
        <v>expense</v>
      </c>
      <c r="F204" s="3">
        <v>45649</v>
      </c>
      <c r="G204" s="1">
        <f>MONTH(operations[[#This Row],[Date]])</f>
        <v>12</v>
      </c>
    </row>
    <row r="205" spans="1:7" x14ac:dyDescent="0.25">
      <c r="A205" s="2">
        <v>1500</v>
      </c>
      <c r="B205" s="1" t="s">
        <v>24</v>
      </c>
      <c r="C205" s="1" t="s">
        <v>26</v>
      </c>
      <c r="D205" s="1" t="s">
        <v>30</v>
      </c>
      <c r="E205" s="1" t="str">
        <f>_xlfn.XLOOKUP(operations[[#This Row],[Category]], categories[Category], categories[Type], " ", 0, 1)</f>
        <v>Income</v>
      </c>
      <c r="F205" s="3">
        <v>45650</v>
      </c>
      <c r="G205" s="1">
        <f>MONTH(operations[[#This Row],[Date]])</f>
        <v>12</v>
      </c>
    </row>
    <row r="206" spans="1:7" x14ac:dyDescent="0.25">
      <c r="A206" s="2">
        <v>-500</v>
      </c>
      <c r="B206" s="1" t="s">
        <v>24</v>
      </c>
      <c r="C206" s="1" t="s">
        <v>26</v>
      </c>
      <c r="D206" s="1" t="s">
        <v>17</v>
      </c>
      <c r="E206" s="1" t="str">
        <f>_xlfn.XLOOKUP(operations[[#This Row],[Category]], categories[Category], categories[Type], " ", 0, 1)</f>
        <v>expense</v>
      </c>
      <c r="F206" s="3">
        <v>45654</v>
      </c>
      <c r="G206" s="1">
        <f>MONTH(operations[[#This Row],[Date]])</f>
        <v>12</v>
      </c>
    </row>
    <row r="207" spans="1:7" x14ac:dyDescent="0.25">
      <c r="A207" s="2">
        <v>-300</v>
      </c>
      <c r="B207" s="1" t="s">
        <v>24</v>
      </c>
      <c r="C207" s="1" t="s">
        <v>26</v>
      </c>
      <c r="D207" s="1" t="s">
        <v>9</v>
      </c>
      <c r="E207" s="1" t="str">
        <f>_xlfn.XLOOKUP(operations[[#This Row],[Category]], categories[Category], categories[Type], " ", 0, 1)</f>
        <v>expense</v>
      </c>
      <c r="F207" s="3">
        <v>45656</v>
      </c>
      <c r="G207" s="1">
        <f>MONTH(operations[[#This Row],[Date]])</f>
        <v>12</v>
      </c>
    </row>
    <row r="208" spans="1:7" x14ac:dyDescent="0.25">
      <c r="A208" s="2">
        <v>1020</v>
      </c>
      <c r="B208" s="1" t="s">
        <v>7</v>
      </c>
      <c r="C208" s="1" t="s">
        <v>8</v>
      </c>
      <c r="D208" s="1" t="s">
        <v>29</v>
      </c>
      <c r="E208" s="1" t="str">
        <f>_xlfn.XLOOKUP(operations[[#This Row],[Category]], categories[Category], categories[Type], " ", 0, 1)</f>
        <v>transfer</v>
      </c>
      <c r="F208" s="3">
        <v>45505</v>
      </c>
      <c r="G208" s="1">
        <f>MONTH(operations[[#This Row],[Date]])</f>
        <v>8</v>
      </c>
    </row>
  </sheetData>
  <dataValidations count="1">
    <dataValidation type="list" allowBlank="1" showInputMessage="1" showErrorMessage="1" sqref="C1" xr:uid="{5CFBEC04-7C24-F148-9A91-D261DB743EDF}">
      <formula1>"'=CHOOSE(MATCH(Table2[@Bank], Dictionary!$H$1:$J$1, 0), Dictionary!$H$1:$H$4,Dictionary!$I$1:$I$4,Dictionary!$J$1:$J$4)"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75354-98D8-4F43-ACC4-133E185D4ECA}">
          <x14:formula1>
            <xm:f>Dictionary!$A$2:$A$17</xm:f>
          </x14:formula1>
          <xm:sqref>D1:D1048576</xm:sqref>
        </x14:dataValidation>
        <x14:dataValidation type="list" allowBlank="1" showInputMessage="1" showErrorMessage="1" xr:uid="{3BF0C614-A136-1C48-930F-47813A028D3C}">
          <x14:formula1>
            <xm:f>Dictionary!$H$1:$J$1</xm:f>
          </x14:formula1>
          <xm:sqref>B1:B1048576</xm:sqref>
        </x14:dataValidation>
        <x14:dataValidation type="list" allowBlank="1" showInputMessage="1" showErrorMessage="1" xr:uid="{EA549E60-924B-495D-BBE0-DD2C569AC84E}">
          <x14:formula1>
            <xm:f>CHOOSE(MATCH(B2, Dictionary!$H$1:$J$1, 0), Dictionary!$H$2:$H$4,Dictionary!$I$2:$I$4,Dictionary!$J$2:$J$4)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1806-954B-43D3-BAD3-4272197E8EA3}">
  <dimension ref="A1:K17"/>
  <sheetViews>
    <sheetView tabSelected="1" workbookViewId="0">
      <selection activeCell="G2" sqref="G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>
        <v>100</v>
      </c>
      <c r="D2" s="8">
        <f ca="1">SUMIFS(operations[Amount],operations[Bank],flow_1[[#This Row],[Bank]],operations[Product],flow_1[[#This Row],[Product]],operations[Month],$B$11)</f>
        <v>-35</v>
      </c>
      <c r="E2" s="9">
        <f ca="1">flow_1[[#This Row],[Opening Balance]] + flow_1[[#This Row],[Operations]]</f>
        <v>65</v>
      </c>
      <c r="G2" t="s">
        <v>19</v>
      </c>
      <c r="H2" s="8">
        <f ca="1">SUMIFS(operations[Amount],operations[Category],income_1[[#This Row],[Category]],operations[Month],$B$11)</f>
        <v>250</v>
      </c>
      <c r="J2" t="s">
        <v>11</v>
      </c>
      <c r="K2" s="8">
        <f ca="1">SUMIFS(operations[Amount],operations[Category],expenses_1[[#This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>
        <v>10.5</v>
      </c>
      <c r="D3" s="8">
        <f ca="1">SUMIFS(operations[Amount],operations[Bank],flow_1[[#This Row],[Bank]],operations[Product],flow_1[[#This Row],[Product]],operations[Month],$B$11)</f>
        <v>255.5</v>
      </c>
      <c r="E3" s="9">
        <f ca="1">flow_1[[#This Row],[Opening Balance]] + flow_1[[#This Row],[Operations]]</f>
        <v>266</v>
      </c>
      <c r="G3" t="s">
        <v>27</v>
      </c>
      <c r="H3" s="8">
        <f ca="1">SUMIFS(operations[Amount],operations[Category],income_1[[#This Row],[Category]],operations[Month],$B$11)</f>
        <v>105.5</v>
      </c>
      <c r="J3" t="s">
        <v>22</v>
      </c>
      <c r="K3" s="8">
        <f ca="1">SUMIFS(operations[Amount],operations[Category],expenses_1[[#This Row],[Category]],operations[Month],$B$11)</f>
        <v>-80</v>
      </c>
    </row>
    <row r="4" spans="1:11" x14ac:dyDescent="0.25">
      <c r="A4" s="8" t="s">
        <v>7</v>
      </c>
      <c r="B4" s="8" t="s">
        <v>8</v>
      </c>
      <c r="C4" s="8">
        <v>600</v>
      </c>
      <c r="D4" s="8">
        <f ca="1">SUMIFS(operations[Amount],operations[Bank],flow_1[[#This Row],[Bank]],operations[Product],flow_1[[#This Row],[Product]],operations[Month],$B$11)</f>
        <v>1100</v>
      </c>
      <c r="E4" s="9">
        <f ca="1">flow_1[[#This Row],[Opening Balance]] + flow_1[[#This Row],[Operations]]</f>
        <v>1700</v>
      </c>
      <c r="G4" t="s">
        <v>30</v>
      </c>
      <c r="H4" s="8">
        <f ca="1">SUMIFS(operations[Amount],operations[Category],income_1[[#This Row],[Category]],operations[Month],$B$11)</f>
        <v>0</v>
      </c>
      <c r="J4" t="s">
        <v>20</v>
      </c>
      <c r="K4" s="8">
        <f ca="1">SUMIFS(operations[Amount],operations[Category],expenses_1[[#This Row],[Category]],operations[Month],$B$11)</f>
        <v>-85</v>
      </c>
    </row>
    <row r="5" spans="1:11" x14ac:dyDescent="0.25">
      <c r="A5" s="8" t="s">
        <v>7</v>
      </c>
      <c r="B5" s="8" t="s">
        <v>13</v>
      </c>
      <c r="C5" s="8">
        <v>0</v>
      </c>
      <c r="D5" s="8">
        <f ca="1">SUMIFS(operations[Amount],operations[Bank],flow_1[[#This Row],[Bank]],operations[Product],flow_1[[#This Row],[Product]],operations[Month],$B$11)</f>
        <v>-175</v>
      </c>
      <c r="E5" s="9">
        <f ca="1">flow_1[[#This Row],[Opening Balance]] + flow_1[[#This Row],[Operations]]</f>
        <v>-175</v>
      </c>
      <c r="G5" t="s">
        <v>15</v>
      </c>
      <c r="H5" s="8">
        <f ca="1">SUMIFS(operations[Amount],operations[Category],income_1[[#This Row],[Category]],operations[Month],$B$11)</f>
        <v>800</v>
      </c>
      <c r="J5" t="s">
        <v>9</v>
      </c>
      <c r="K5" s="8">
        <f ca="1">SUMIFS(operations[Amount],operations[Category],expenses_1[[#This Row],[Category]],operations[Month],$B$11)</f>
        <v>-1715</v>
      </c>
    </row>
    <row r="6" spans="1:11" x14ac:dyDescent="0.25">
      <c r="A6" s="8" t="s">
        <v>7</v>
      </c>
      <c r="B6" s="8" t="s">
        <v>16</v>
      </c>
      <c r="C6" s="8">
        <v>2000</v>
      </c>
      <c r="D6" s="8">
        <f ca="1">SUMIFS(operations[Amount],operations[Bank],flow_1[[#This Row],[Bank]],operations[Product],flow_1[[#This Row],[Product]],operations[Month],$B$11)</f>
        <v>-400</v>
      </c>
      <c r="E6" s="9">
        <f ca="1">flow_1[[#This Row],[Opening Balance]] + flow_1[[#This Row],[Operations]]</f>
        <v>1600</v>
      </c>
      <c r="G6" t="s">
        <v>10</v>
      </c>
      <c r="H6" s="8">
        <f ca="1">SUMIFS(operations[Amount],operations[Category],income_1[[#This Row],[Category]],operations[Month],$B$11)</f>
        <v>4500</v>
      </c>
      <c r="J6" t="s">
        <v>28</v>
      </c>
      <c r="K6" s="8">
        <f ca="1">SUMIFS(operations[Amount],operations[Category],expenses_1[[#This Row],[Category]],operations[Month],$B$11)</f>
        <v>-100</v>
      </c>
    </row>
    <row r="7" spans="1:11" x14ac:dyDescent="0.25">
      <c r="A7" s="8" t="s">
        <v>24</v>
      </c>
      <c r="B7" s="8" t="s">
        <v>25</v>
      </c>
      <c r="C7" s="8">
        <v>200</v>
      </c>
      <c r="D7" s="8">
        <f ca="1">SUMIFS(operations[Amount],operations[Bank],flow_1[[#This Row],[Bank]],operations[Product],flow_1[[#This Row],[Product]],operations[Month],$B$11)</f>
        <v>-50</v>
      </c>
      <c r="E7" s="9">
        <f ca="1">flow_1[[#This Row],[Opening Balance]] + flow_1[[#This Row],[Operations]]</f>
        <v>150</v>
      </c>
      <c r="G7" t="s">
        <v>31</v>
      </c>
      <c r="H7" s="8">
        <f ca="1">SUMIFS(operations[Amount],operations[Category],income_1[[#This Row],[Category]],operations[Month],$B$11)</f>
        <v>0</v>
      </c>
      <c r="J7" t="s">
        <v>14</v>
      </c>
      <c r="K7" s="8">
        <f ca="1">SUMIFS(operations[Amount],operations[Category],expenses_1[[#This Row],[Category]],operations[Month],$B$11)</f>
        <v>-150</v>
      </c>
    </row>
    <row r="8" spans="1:11" x14ac:dyDescent="0.25">
      <c r="A8" s="8" t="s">
        <v>24</v>
      </c>
      <c r="B8" s="8" t="s">
        <v>26</v>
      </c>
      <c r="C8" s="8">
        <v>30</v>
      </c>
      <c r="D8" s="8">
        <f ca="1">SUMIFS(operations[Amount],operations[Bank],flow_1[[#This Row],[Bank]],operations[Product],flow_1[[#This Row],[Product]],operations[Month],$B$11)</f>
        <v>150</v>
      </c>
      <c r="E8" s="9">
        <f ca="1">flow_1[[#This Row],[Opening Balance]] + flow_1[[#This Row],[Operations]]</f>
        <v>180</v>
      </c>
      <c r="G8" t="s">
        <v>38</v>
      </c>
      <c r="H8" s="8">
        <f ca="1">SUBTOTAL(109,income_1[Total])</f>
        <v>5655.5</v>
      </c>
      <c r="J8" t="s">
        <v>17</v>
      </c>
      <c r="K8" s="8">
        <f ca="1">SUMIFS(operations[Amount],operations[Category],expenses_1[[#This Row],[Category]],operations[Month],$B$11)</f>
        <v>-500</v>
      </c>
    </row>
    <row r="9" spans="1:11" x14ac:dyDescent="0.25">
      <c r="A9" s="8" t="s">
        <v>38</v>
      </c>
      <c r="B9" s="8"/>
      <c r="C9" s="8">
        <f>SUBTOTAL(109,flow_1[Opening Balance])</f>
        <v>2940.5</v>
      </c>
      <c r="D9" s="8">
        <f ca="1">SUBTOTAL(109,flow_1[Operations])</f>
        <v>845.5</v>
      </c>
      <c r="E9" s="8">
        <f ca="1">SUBTOTAL(109,flow_1[Closing Balance])</f>
        <v>3786</v>
      </c>
      <c r="J9" t="s">
        <v>23</v>
      </c>
      <c r="K9" s="8">
        <f ca="1">SUMIFS(operations[Amount],operations[Category],expenses_1[[#This Row],[Category]],operations[Month],$B$11)</f>
        <v>-100</v>
      </c>
    </row>
    <row r="10" spans="1:11" x14ac:dyDescent="0.25">
      <c r="J10" t="s">
        <v>21</v>
      </c>
      <c r="K10" s="8">
        <f ca="1">SUMIFS(operations[Amount],operations[Category],expenses_1[[#This Row],[Category]],operations[Month],$B$11)</f>
        <v>-80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1</v>
      </c>
      <c r="J11" t="s">
        <v>38</v>
      </c>
      <c r="K11" s="8">
        <f ca="1">SUBTOTAL(109,expenses_1[Total])</f>
        <v>-4810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SUMIFS(operations[Amount],operations[Month],$B$11,operations[Type],balance_1[[#This Row],[Type]])</f>
        <v>-4810</v>
      </c>
    </row>
    <row r="15" spans="1:11" x14ac:dyDescent="0.25">
      <c r="A15" s="8" t="s">
        <v>33</v>
      </c>
      <c r="B15" s="8">
        <f ca="1">SUMIFS(operations[Amount],operations[Month],$B$11,operations[Type],balance_1[[#This Row],[Type]])</f>
        <v>5655.5</v>
      </c>
    </row>
    <row r="16" spans="1:11" x14ac:dyDescent="0.25">
      <c r="A16" s="8" t="s">
        <v>29</v>
      </c>
      <c r="B16" s="8">
        <f ca="1">SUMIFS(operations[Amount],operations[Month],$B$11,operations[Type],balance_1[[#This Row],[Type]])</f>
        <v>0</v>
      </c>
    </row>
    <row r="17" spans="1:2" x14ac:dyDescent="0.25">
      <c r="A17" s="8" t="s">
        <v>38</v>
      </c>
      <c r="B17" s="8">
        <f ca="1">SUBTOTAL(109,balance_1[Total])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15D5-6A87-462F-9A8B-7C05601B11E9}">
  <dimension ref="A1:K17"/>
  <sheetViews>
    <sheetView workbookViewId="0">
      <selection activeCell="D10" sqref="D10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65</v>
      </c>
      <c r="D2" s="8">
        <f ca="1">SUMIFS(operations[Amount],operations[Bank],flow_2[[#This Row],[Bank]],operations[Product],flow_2[[#This Row],[Product]],operations[Month],$B$11)</f>
        <v>35</v>
      </c>
      <c r="E2" s="9">
        <f ca="1">flow_2[[#This Row],[Opening Balance]] + flow_2[[#This Row],[Operations]]</f>
        <v>100</v>
      </c>
      <c r="G2" t="s">
        <v>19</v>
      </c>
      <c r="H2" s="8">
        <f ca="1">SUMIFS(operations[Amount],operations[Category],income_2[[#This Row],[Category]],operations[Month],$B$11)</f>
        <v>0</v>
      </c>
      <c r="J2" t="s">
        <v>11</v>
      </c>
      <c r="K2" s="8">
        <f ca="1">SUMIFS(operations[Amount],operations[Category],expenses_2[[#This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266</v>
      </c>
      <c r="D3" s="8">
        <f ca="1">SUMIFS(operations[Amount],operations[Bank],flow_2[[#This Row],[Bank]],operations[Product],flow_2[[#This Row],[Product]],operations[Month],$B$11)</f>
        <v>15</v>
      </c>
      <c r="E3" s="9">
        <f ca="1">flow_2[[#This Row],[Opening Balance]] + flow_2[[#This Row],[Operations]]</f>
        <v>281</v>
      </c>
      <c r="G3" t="s">
        <v>27</v>
      </c>
      <c r="H3" s="8">
        <f ca="1">SUMIFS(operations[Amount],operations[Category],income_2[[#This Row],[Category]],operations[Month],$B$11)</f>
        <v>115</v>
      </c>
      <c r="J3" t="s">
        <v>22</v>
      </c>
      <c r="K3" s="8">
        <f ca="1">SUMIFS(operations[Amount],operations[Category],expenses_2[[#This Row],[Category]],operations[Month],$B$11)</f>
        <v>0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1700</v>
      </c>
      <c r="D4" s="8">
        <f ca="1">SUMIFS(operations[Amount],operations[Bank],flow_2[[#This Row],[Bank]],operations[Product],flow_2[[#This Row],[Product]],operations[Month],$B$11)</f>
        <v>2039.5</v>
      </c>
      <c r="E4" s="9">
        <f ca="1">flow_2[[#This Row],[Opening Balance]] + flow_2[[#This Row],[Operations]]</f>
        <v>3739.5</v>
      </c>
      <c r="G4" t="s">
        <v>30</v>
      </c>
      <c r="H4" s="8">
        <f ca="1">SUMIFS(operations[Amount],operations[Category],income_2[[#This Row],[Category]],operations[Month],$B$11)</f>
        <v>0</v>
      </c>
      <c r="J4" t="s">
        <v>20</v>
      </c>
      <c r="K4" s="8">
        <f ca="1">SUMIFS(operations[Amount],operations[Category],expenses_2[[#This Row],[Category]],operations[Month],$B$11)</f>
        <v>-350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-175</v>
      </c>
      <c r="D5" s="8">
        <f ca="1">SUMIFS(operations[Amount],operations[Bank],flow_2[[#This Row],[Bank]],operations[Product],flow_2[[#This Row],[Product]],operations[Month],$B$11)</f>
        <v>175</v>
      </c>
      <c r="E5" s="9">
        <f ca="1">flow_2[[#This Row],[Opening Balance]] + flow_2[[#This Row],[Operations]]</f>
        <v>0</v>
      </c>
      <c r="G5" t="s">
        <v>15</v>
      </c>
      <c r="H5" s="8">
        <f ca="1">SUMIFS(operations[Amount],operations[Category],income_2[[#This Row],[Category]],operations[Month],$B$11)</f>
        <v>1950</v>
      </c>
      <c r="J5" t="s">
        <v>9</v>
      </c>
      <c r="K5" s="8">
        <f ca="1">SUMIFS(operations[Amount],operations[Category],expenses_2[[#This Row],[Category]],operations[Month],$B$11)</f>
        <v>-405.5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1600</v>
      </c>
      <c r="D6" s="8">
        <f ca="1">SUMIFS(operations[Amount],operations[Bank],flow_2[[#This Row],[Bank]],operations[Product],flow_2[[#This Row],[Product]],operations[Month],$B$11)</f>
        <v>-400</v>
      </c>
      <c r="E6" s="9">
        <f ca="1">flow_2[[#This Row],[Opening Balance]] + flow_2[[#This Row],[Operations]]</f>
        <v>1200</v>
      </c>
      <c r="G6" t="s">
        <v>10</v>
      </c>
      <c r="H6" s="8">
        <f ca="1">SUMIFS(operations[Amount],operations[Category],income_2[[#This Row],[Category]],operations[Month],$B$11)</f>
        <v>4500</v>
      </c>
      <c r="J6" t="s">
        <v>28</v>
      </c>
      <c r="K6" s="8">
        <f ca="1">SUMIFS(operations[Amount],operations[Category],expenses_2[[#This Row],[Category]],operations[Month],$B$11)</f>
        <v>-250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150</v>
      </c>
      <c r="D7" s="8">
        <f ca="1">SUMIFS(operations[Amount],operations[Bank],flow_2[[#This Row],[Bank]],operations[Product],flow_2[[#This Row],[Product]],operations[Month],$B$11)</f>
        <v>100</v>
      </c>
      <c r="E7" s="9">
        <f ca="1">flow_2[[#This Row],[Opening Balance]] + flow_2[[#This Row],[Operations]]</f>
        <v>250</v>
      </c>
      <c r="G7" t="s">
        <v>31</v>
      </c>
      <c r="H7" s="8">
        <f ca="1">SUMIFS(operations[Amount],operations[Category],income_2[[#This Row],[Category]],operations[Month],$B$11)</f>
        <v>0</v>
      </c>
      <c r="J7" t="s">
        <v>14</v>
      </c>
      <c r="K7" s="8">
        <f ca="1">SUMIFS(operations[Amount],operations[Category],expenses_2[[#This Row],[Category]],operations[Month],$B$11)</f>
        <v>-150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180</v>
      </c>
      <c r="D8" s="8">
        <f ca="1">SUMIFS(operations[Amount],operations[Bank],flow_2[[#This Row],[Bank]],operations[Product],flow_2[[#This Row],[Product]],operations[Month],$B$11)</f>
        <v>500</v>
      </c>
      <c r="E8" s="9">
        <f ca="1">flow_2[[#This Row],[Opening Balance]] + flow_2[[#This Row],[Operations]]</f>
        <v>680</v>
      </c>
      <c r="G8" t="s">
        <v>38</v>
      </c>
      <c r="H8" s="8">
        <f ca="1">SUBTOTAL(109,income_2[Total])</f>
        <v>6565</v>
      </c>
      <c r="J8" t="s">
        <v>17</v>
      </c>
      <c r="K8" s="8">
        <f ca="1">SUMIFS(operations[Amount],operations[Category],expenses_2[[#This Row],[Category]],operations[Month],$B$11)</f>
        <v>-765</v>
      </c>
    </row>
    <row r="9" spans="1:11" x14ac:dyDescent="0.25">
      <c r="A9" s="8" t="s">
        <v>38</v>
      </c>
      <c r="B9" s="8"/>
      <c r="C9" s="8">
        <f ca="1">SUBTOTAL(109,flow_2[Opening Balance])</f>
        <v>3786</v>
      </c>
      <c r="D9" s="8">
        <f ca="1">SUBTOTAL(109,flow_2[Operations])</f>
        <v>2464.5</v>
      </c>
      <c r="E9" s="8">
        <f ca="1">SUBTOTAL(109,flow_2[Closing Balance])</f>
        <v>6250.5</v>
      </c>
      <c r="J9" t="s">
        <v>23</v>
      </c>
      <c r="K9" s="8">
        <f ca="1">SUMIFS(operations[Amount],operations[Category],expenses_2[[#This Row],[Category]],operations[Month],$B$11)</f>
        <v>-100</v>
      </c>
    </row>
    <row r="10" spans="1:11" x14ac:dyDescent="0.25">
      <c r="J10" t="s">
        <v>21</v>
      </c>
      <c r="K10" s="8">
        <f ca="1">SUMIFS(operations[Amount],operations[Category],expenses_2[[#This Row],[Category]],operations[Month],$B$11)</f>
        <v>-80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2</v>
      </c>
      <c r="J11" t="s">
        <v>38</v>
      </c>
      <c r="K11" s="8">
        <f ca="1">SUBTOTAL(109,expenses_2[Total])</f>
        <v>-4100.5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SUMIFS(operations[Amount],operations[Month],$B$11,operations[Type],balance_2[[#This Row],[Type]])</f>
        <v>-4100.5</v>
      </c>
    </row>
    <row r="15" spans="1:11" x14ac:dyDescent="0.25">
      <c r="A15" s="8" t="s">
        <v>33</v>
      </c>
      <c r="B15" s="8">
        <f ca="1">SUMIFS(operations[Amount],operations[Month],$B$11,operations[Type],balance_2[[#This Row],[Type]])</f>
        <v>6565</v>
      </c>
    </row>
    <row r="16" spans="1:11" x14ac:dyDescent="0.25">
      <c r="A16" s="8" t="s">
        <v>29</v>
      </c>
      <c r="B16" s="8">
        <f ca="1">SUMIFS(operations[Amount],operations[Month],$B$11,operations[Type],balance_2[[#This Row],[Type]])</f>
        <v>0</v>
      </c>
    </row>
    <row r="17" spans="1:2" x14ac:dyDescent="0.25">
      <c r="A17" s="8" t="s">
        <v>38</v>
      </c>
      <c r="B17" s="8">
        <f ca="1">SUBTOTAL(109,balance_2[Total])</f>
        <v>2464.5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D1D1-062C-4B12-AFE5-9BABB2E703BF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100</v>
      </c>
      <c r="D2" s="8">
        <f ca="1">SUMIFS(operations[Amount],operations[Bank],flow_3[[#This Row],[Bank]],operations[Product],flow_3[[#This Row],[Product]],operations[Month],$B$11)</f>
        <v>67.5</v>
      </c>
      <c r="E2" s="9">
        <f ca="1">flow_3[[#This Row],[Opening Balance]] + flow_3[[#This Row],[Operations]]</f>
        <v>167.5</v>
      </c>
      <c r="G2" t="s">
        <v>19</v>
      </c>
      <c r="H2" s="8">
        <f ca="1">SUMIFS(operations[Amount],operations[Category],income_3[[#This Row],[Category]],operations[Month],$B$11)</f>
        <v>0</v>
      </c>
      <c r="J2" t="s">
        <v>11</v>
      </c>
      <c r="K2" s="8">
        <f ca="1">SUMIFS(operations[Amount],operations[Category],expenses_3[[#This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281</v>
      </c>
      <c r="D3" s="8">
        <f ca="1">SUMIFS(operations[Amount],operations[Bank],flow_3[[#This Row],[Bank]],operations[Product],flow_3[[#This Row],[Product]],operations[Month],$B$11)</f>
        <v>5</v>
      </c>
      <c r="E3" s="9">
        <f ca="1">flow_3[[#This Row],[Opening Balance]] + flow_3[[#This Row],[Operations]]</f>
        <v>286</v>
      </c>
      <c r="G3" t="s">
        <v>27</v>
      </c>
      <c r="H3" s="8">
        <f ca="1">SUMIFS(operations[Amount],operations[Category],income_3[[#This Row],[Category]],operations[Month],$B$11)</f>
        <v>150</v>
      </c>
      <c r="J3" t="s">
        <v>22</v>
      </c>
      <c r="K3" s="8">
        <f ca="1">SUMIFS(operations[Amount],operations[Category],expenses_3[[#This Row],[Category]],operations[Month],$B$11)</f>
        <v>-469.9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3739.5</v>
      </c>
      <c r="D4" s="8">
        <f ca="1">SUMIFS(operations[Amount],operations[Bank],flow_3[[#This Row],[Bank]],operations[Product],flow_3[[#This Row],[Product]],operations[Month],$B$11)</f>
        <v>821.59999999999991</v>
      </c>
      <c r="E4" s="9">
        <f ca="1">flow_3[[#This Row],[Opening Balance]] + flow_3[[#This Row],[Operations]]</f>
        <v>4561.1000000000004</v>
      </c>
      <c r="G4" t="s">
        <v>30</v>
      </c>
      <c r="H4" s="8">
        <f ca="1">SUMIFS(operations[Amount],operations[Category],income_3[[#This Row],[Category]],operations[Month],$B$11)</f>
        <v>5</v>
      </c>
      <c r="J4" t="s">
        <v>20</v>
      </c>
      <c r="K4" s="8">
        <f ca="1">SUMIFS(operations[Amount],operations[Category],expenses_3[[#This Row],[Category]],operations[Month],$B$11)</f>
        <v>-200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0</v>
      </c>
      <c r="D5" s="8">
        <f ca="1">SUMIFS(operations[Amount],operations[Bank],flow_3[[#This Row],[Bank]],operations[Product],flow_3[[#This Row],[Product]],operations[Month],$B$11)</f>
        <v>-104.5</v>
      </c>
      <c r="E5" s="9">
        <f ca="1">flow_3[[#This Row],[Opening Balance]] + flow_3[[#This Row],[Operations]]</f>
        <v>-104.5</v>
      </c>
      <c r="G5" t="s">
        <v>15</v>
      </c>
      <c r="H5" s="8">
        <f ca="1">SUMIFS(operations[Amount],operations[Category],income_3[[#This Row],[Category]],operations[Month],$B$11)</f>
        <v>0</v>
      </c>
      <c r="J5" t="s">
        <v>9</v>
      </c>
      <c r="K5" s="8">
        <f ca="1">SUMIFS(operations[Amount],operations[Category],expenses_3[[#This Row],[Category]],operations[Month],$B$11)</f>
        <v>-734.99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1200</v>
      </c>
      <c r="D6" s="8">
        <f ca="1">SUMIFS(operations[Amount],operations[Bank],flow_3[[#This Row],[Bank]],operations[Product],flow_3[[#This Row],[Product]],operations[Month],$B$11)</f>
        <v>0</v>
      </c>
      <c r="E6" s="9">
        <f ca="1">flow_3[[#This Row],[Opening Balance]] + flow_3[[#This Row],[Operations]]</f>
        <v>1200</v>
      </c>
      <c r="G6" t="s">
        <v>10</v>
      </c>
      <c r="H6" s="8">
        <f ca="1">SUMIFS(operations[Amount],operations[Category],income_3[[#This Row],[Category]],operations[Month],$B$11)</f>
        <v>4500</v>
      </c>
      <c r="J6" t="s">
        <v>28</v>
      </c>
      <c r="K6" s="8">
        <f ca="1">SUMIFS(operations[Amount],operations[Category],expenses_3[[#This Row],[Category]],operations[Month],$B$11)</f>
        <v>-9.5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250</v>
      </c>
      <c r="D7" s="8">
        <f ca="1">SUMIFS(operations[Amount],operations[Bank],flow_3[[#This Row],[Bank]],operations[Product],flow_3[[#This Row],[Product]],operations[Month],$B$11)</f>
        <v>-24.49</v>
      </c>
      <c r="E7" s="9">
        <f ca="1">flow_3[[#This Row],[Opening Balance]] + flow_3[[#This Row],[Operations]]</f>
        <v>225.51</v>
      </c>
      <c r="G7" t="s">
        <v>31</v>
      </c>
      <c r="H7" s="8">
        <f ca="1">SUMIFS(operations[Amount],operations[Category],income_3[[#This Row],[Category]],operations[Month],$B$11)</f>
        <v>0</v>
      </c>
      <c r="J7" t="s">
        <v>14</v>
      </c>
      <c r="K7" s="8">
        <f ca="1">SUMIFS(operations[Amount],operations[Category],expenses_3[[#This Row],[Category]],operations[Month],$B$11)</f>
        <v>-23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680</v>
      </c>
      <c r="D8" s="8">
        <f ca="1">SUMIFS(operations[Amount],operations[Bank],flow_3[[#This Row],[Bank]],operations[Product],flow_3[[#This Row],[Product]],operations[Month],$B$11)</f>
        <v>-9.5</v>
      </c>
      <c r="E8" s="9">
        <f ca="1">flow_3[[#This Row],[Opening Balance]] + flow_3[[#This Row],[Operations]]</f>
        <v>670.5</v>
      </c>
      <c r="G8" t="s">
        <v>38</v>
      </c>
      <c r="H8" s="8">
        <f ca="1">SUBTOTAL(109,income_3[Total])</f>
        <v>4655</v>
      </c>
      <c r="J8" t="s">
        <v>17</v>
      </c>
      <c r="K8" s="8">
        <f ca="1">SUMIFS(operations[Amount],operations[Category],expenses_3[[#This Row],[Category]],operations[Month],$B$11)</f>
        <v>-300</v>
      </c>
    </row>
    <row r="9" spans="1:11" x14ac:dyDescent="0.25">
      <c r="A9" s="8" t="s">
        <v>38</v>
      </c>
      <c r="B9" s="8"/>
      <c r="C9" s="8">
        <f ca="1">SUBTOTAL(109,flow_3[Opening Balance])</f>
        <v>6250.5</v>
      </c>
      <c r="D9" s="8">
        <f ca="1">SUBTOTAL(109,flow_3[Operations])</f>
        <v>755.6099999999999</v>
      </c>
      <c r="E9" s="8">
        <f ca="1">SUBTOTAL(109,flow_3[Closing Balance])</f>
        <v>7006.1100000000006</v>
      </c>
      <c r="J9" t="s">
        <v>23</v>
      </c>
      <c r="K9" s="8">
        <f ca="1">SUMIFS(operations[Amount],operations[Category],expenses_3[[#This Row],[Category]],operations[Month],$B$11)</f>
        <v>-79.5</v>
      </c>
    </row>
    <row r="10" spans="1:11" x14ac:dyDescent="0.25">
      <c r="J10" t="s">
        <v>21</v>
      </c>
      <c r="K10" s="8">
        <f ca="1">SUMIFS(operations[Amount],operations[Category],expenses_3[[#This Row],[Category]],operations[Month],$B$11)</f>
        <v>-82.5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3</v>
      </c>
      <c r="J11" t="s">
        <v>38</v>
      </c>
      <c r="K11" s="8">
        <f ca="1">SUBTOTAL(109,expenses_3[Total])</f>
        <v>-3899.3900000000003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SUMIFS(operations[Amount],operations[Month],$B$11,operations[Type],balance_3[[#This Row],[Type]])</f>
        <v>-3899.39</v>
      </c>
    </row>
    <row r="15" spans="1:11" x14ac:dyDescent="0.25">
      <c r="A15" s="8" t="s">
        <v>33</v>
      </c>
      <c r="B15" s="8">
        <f ca="1">SUMIFS(operations[Amount],operations[Month],$B$11,operations[Type],balance_3[[#This Row],[Type]])</f>
        <v>4655</v>
      </c>
    </row>
    <row r="16" spans="1:11" x14ac:dyDescent="0.25">
      <c r="A16" s="8" t="s">
        <v>29</v>
      </c>
      <c r="B16" s="8">
        <f ca="1">SUMIFS(operations[Amount],operations[Month],$B$11,operations[Type],balance_3[[#This Row],[Type]])</f>
        <v>0</v>
      </c>
    </row>
    <row r="17" spans="1:2" x14ac:dyDescent="0.25">
      <c r="A17" s="8" t="s">
        <v>38</v>
      </c>
      <c r="B17" s="8">
        <f ca="1">SUBTOTAL(109,balance_3[Total])</f>
        <v>755.61000000000013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DBD7-C50D-4527-BB67-D08473E16574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167.5</v>
      </c>
      <c r="D2" s="8">
        <f ca="1">SUMIFS(operations[Amount],operations[Bank],flow_4[[#This Row],[Bank]],operations[Product],flow_4[[#This Row],[Product]],operations[Month],$B$11)</f>
        <v>101</v>
      </c>
      <c r="E2" s="9">
        <f ca="1">flow_4[[#This Row],[Opening Balance]] + flow_4[[#This Row],[Operations]]</f>
        <v>268.5</v>
      </c>
      <c r="G2" t="s">
        <v>19</v>
      </c>
      <c r="H2" s="8">
        <f ca="1">SUMIFS(operations[Amount],operations[Category],income_4[[#This Row],[Category]],operations[Month],$B$11)</f>
        <v>0</v>
      </c>
      <c r="J2" t="s">
        <v>11</v>
      </c>
      <c r="K2" s="8">
        <f ca="1">SUMIFS(operations[Amount],operations[Category],expenses_4[[#This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286</v>
      </c>
      <c r="D3" s="8">
        <f ca="1">SUMIFS(operations[Amount],operations[Bank],flow_4[[#This Row],[Bank]],operations[Product],flow_4[[#This Row],[Product]],operations[Month],$B$11)</f>
        <v>50</v>
      </c>
      <c r="E3" s="9">
        <f ca="1">flow_4[[#This Row],[Opening Balance]] + flow_4[[#This Row],[Operations]]</f>
        <v>336</v>
      </c>
      <c r="G3" t="s">
        <v>27</v>
      </c>
      <c r="H3" s="8">
        <f ca="1">SUMIFS(operations[Amount],operations[Category],income_4[[#This Row],[Category]],operations[Month],$B$11)</f>
        <v>150</v>
      </c>
      <c r="J3" t="s">
        <v>22</v>
      </c>
      <c r="K3" s="8">
        <f ca="1">SUMIFS(operations[Amount],operations[Category],expenses_4[[#This Row],[Category]],operations[Month],$B$11)</f>
        <v>-149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4561.1000000000004</v>
      </c>
      <c r="D4" s="8">
        <f ca="1">SUMIFS(operations[Amount],operations[Bank],flow_4[[#This Row],[Bank]],operations[Product],flow_4[[#This Row],[Product]],operations[Month],$B$11)</f>
        <v>562.72999999999968</v>
      </c>
      <c r="E4" s="9">
        <f ca="1">flow_4[[#This Row],[Opening Balance]] + flow_4[[#This Row],[Operations]]</f>
        <v>5123.83</v>
      </c>
      <c r="G4" t="s">
        <v>30</v>
      </c>
      <c r="H4" s="8">
        <f ca="1">SUMIFS(operations[Amount],operations[Category],income_4[[#This Row],[Category]],operations[Month],$B$11)</f>
        <v>50</v>
      </c>
      <c r="J4" t="s">
        <v>20</v>
      </c>
      <c r="K4" s="8">
        <f ca="1">SUMIFS(operations[Amount],operations[Category],expenses_4[[#This Row],[Category]],operations[Month],$B$11)</f>
        <v>-1057.9000000000001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-104.5</v>
      </c>
      <c r="D5" s="8">
        <f ca="1">SUMIFS(operations[Amount],operations[Bank],flow_4[[#This Row],[Bank]],operations[Product],flow_4[[#This Row],[Product]],operations[Month],$B$11)</f>
        <v>13.110000000000007</v>
      </c>
      <c r="E5" s="9">
        <f ca="1">flow_4[[#This Row],[Opening Balance]] + flow_4[[#This Row],[Operations]]</f>
        <v>-91.389999999999986</v>
      </c>
      <c r="G5" t="s">
        <v>15</v>
      </c>
      <c r="H5" s="8">
        <f ca="1">SUMIFS(operations[Amount],operations[Category],income_4[[#This Row],[Category]],operations[Month],$B$11)</f>
        <v>0</v>
      </c>
      <c r="J5" t="s">
        <v>9</v>
      </c>
      <c r="K5" s="8">
        <f ca="1">SUMIFS(operations[Amount],operations[Category],expenses_4[[#This Row],[Category]],operations[Month],$B$11)</f>
        <v>-372.26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1200</v>
      </c>
      <c r="D6" s="8">
        <f ca="1">SUMIFS(operations[Amount],operations[Bank],flow_4[[#This Row],[Bank]],operations[Product],flow_4[[#This Row],[Product]],operations[Month],$B$11)</f>
        <v>0</v>
      </c>
      <c r="E6" s="9">
        <f ca="1">flow_4[[#This Row],[Opening Balance]] + flow_4[[#This Row],[Operations]]</f>
        <v>1200</v>
      </c>
      <c r="G6" t="s">
        <v>10</v>
      </c>
      <c r="H6" s="8">
        <f ca="1">SUMIFS(operations[Amount],operations[Category],income_4[[#This Row],[Category]],operations[Month],$B$11)</f>
        <v>4500</v>
      </c>
      <c r="J6" t="s">
        <v>28</v>
      </c>
      <c r="K6" s="8">
        <f ca="1">SUMIFS(operations[Amount],operations[Category],expenses_4[[#This Row],[Category]],operations[Month],$B$11)</f>
        <v>-23.5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225.51</v>
      </c>
      <c r="D7" s="8">
        <f ca="1">SUMIFS(operations[Amount],operations[Bank],flow_4[[#This Row],[Bank]],operations[Product],flow_4[[#This Row],[Product]],operations[Month],$B$11)</f>
        <v>0</v>
      </c>
      <c r="E7" s="9">
        <f ca="1">flow_4[[#This Row],[Opening Balance]] + flow_4[[#This Row],[Operations]]</f>
        <v>225.51</v>
      </c>
      <c r="G7" t="s">
        <v>31</v>
      </c>
      <c r="H7" s="8">
        <f ca="1">SUMIFS(operations[Amount],operations[Category],income_4[[#This Row],[Category]],operations[Month],$B$11)</f>
        <v>0</v>
      </c>
      <c r="J7" t="s">
        <v>14</v>
      </c>
      <c r="K7" s="8">
        <f ca="1">SUMIFS(operations[Amount],operations[Category],expenses_4[[#This Row],[Category]],operations[Month],$B$11)</f>
        <v>-49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670.5</v>
      </c>
      <c r="D8" s="8">
        <f ca="1">SUMIFS(operations[Amount],operations[Bank],flow_4[[#This Row],[Bank]],operations[Product],flow_4[[#This Row],[Product]],operations[Month],$B$11)</f>
        <v>0</v>
      </c>
      <c r="E8" s="9">
        <f ca="1">flow_4[[#This Row],[Opening Balance]] + flow_4[[#This Row],[Operations]]</f>
        <v>670.5</v>
      </c>
      <c r="G8" t="s">
        <v>38</v>
      </c>
      <c r="H8" s="8">
        <f ca="1">SUBTOTAL(109,income_4[Total])</f>
        <v>4700</v>
      </c>
      <c r="J8" t="s">
        <v>17</v>
      </c>
      <c r="K8" s="8">
        <f ca="1">SUMIFS(operations[Amount],operations[Category],expenses_4[[#This Row],[Category]],operations[Month],$B$11)</f>
        <v>-100</v>
      </c>
    </row>
    <row r="9" spans="1:11" x14ac:dyDescent="0.25">
      <c r="A9" s="8" t="s">
        <v>38</v>
      </c>
      <c r="B9" s="8"/>
      <c r="C9" s="8">
        <f ca="1">SUBTOTAL(109,flow_4[Opening Balance])</f>
        <v>7006.1100000000006</v>
      </c>
      <c r="D9" s="8">
        <f ca="1">SUBTOTAL(109,flow_4[Operations])</f>
        <v>726.83999999999969</v>
      </c>
      <c r="E9" s="8">
        <f ca="1">SUBTOTAL(109,flow_4[Closing Balance])</f>
        <v>7732.95</v>
      </c>
      <c r="J9" t="s">
        <v>23</v>
      </c>
      <c r="K9" s="8">
        <f ca="1">SUMIFS(operations[Amount],operations[Category],expenses_4[[#This Row],[Category]],operations[Month],$B$11)</f>
        <v>-139</v>
      </c>
    </row>
    <row r="10" spans="1:11" x14ac:dyDescent="0.25">
      <c r="J10" t="s">
        <v>21</v>
      </c>
      <c r="K10" s="8">
        <f ca="1">SUMIFS(operations[Amount],operations[Category],expenses_4[[#This Row],[Category]],operations[Month],$B$11)</f>
        <v>-82.5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4</v>
      </c>
      <c r="J11" t="s">
        <v>38</v>
      </c>
      <c r="K11" s="8">
        <f ca="1">SUBTOTAL(109,expenses_4[Total])</f>
        <v>-3973.16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SUMIFS(operations[Amount],operations[Month],$B$11,operations[Type],balance_4[[#This Row],[Type]])</f>
        <v>-3973.16</v>
      </c>
    </row>
    <row r="15" spans="1:11" x14ac:dyDescent="0.25">
      <c r="A15" s="8" t="s">
        <v>33</v>
      </c>
      <c r="B15" s="8">
        <f ca="1">SUMIFS(operations[Amount],operations[Month],$B$11,operations[Type],balance_4[[#This Row],[Type]])</f>
        <v>4700</v>
      </c>
    </row>
    <row r="16" spans="1:11" x14ac:dyDescent="0.25">
      <c r="A16" s="8" t="s">
        <v>29</v>
      </c>
      <c r="B16" s="8">
        <f ca="1">SUMIFS(operations[Amount],operations[Month],$B$11,operations[Type],balance_4[[#This Row],[Type]])</f>
        <v>0</v>
      </c>
    </row>
    <row r="17" spans="1:2" x14ac:dyDescent="0.25">
      <c r="A17" s="8" t="s">
        <v>38</v>
      </c>
      <c r="B17" s="8">
        <f ca="1">SUBTOTAL(109,balance_4[Total])</f>
        <v>726.84000000000015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8AAC-1DE5-413B-BC47-7D6EF8D9999C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268.5</v>
      </c>
      <c r="D2" s="8">
        <f ca="1">SUMIFS(operations[Amount],operations[Bank],flow_5[[#This Row],[Bank]],operations[Product],flow_5[[#This Row],[Product]],operations[Month],$B$11)</f>
        <v>-50</v>
      </c>
      <c r="E2" s="9">
        <f ca="1">flow_5[[#This Row],[Opening Balance]] + flow_5[[#This Row],[Operations]]</f>
        <v>218.5</v>
      </c>
      <c r="G2" t="s">
        <v>19</v>
      </c>
      <c r="H2" s="8">
        <f ca="1">SUMIFS(operations[Amount],operations[Category],income_5[[#This Row],[Category]],operations[Month],$B$11)</f>
        <v>0</v>
      </c>
      <c r="J2" t="s">
        <v>11</v>
      </c>
      <c r="K2" s="8">
        <f ca="1">SUMIFS(operations[Amount],operations[Category],expenses_5[[#This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336</v>
      </c>
      <c r="D3" s="8">
        <f ca="1">SUMIFS(operations[Amount],operations[Bank],flow_5[[#This Row],[Bank]],operations[Product],flow_5[[#This Row],[Product]],operations[Month],$B$11)</f>
        <v>0</v>
      </c>
      <c r="E3" s="9">
        <f ca="1">flow_5[[#This Row],[Opening Balance]] + flow_5[[#This Row],[Operations]]</f>
        <v>336</v>
      </c>
      <c r="G3" t="s">
        <v>27</v>
      </c>
      <c r="H3" s="8">
        <f ca="1">SUMIFS(operations[Amount],operations[Category],income_5[[#This Row],[Category]],operations[Month],$B$11)</f>
        <v>0</v>
      </c>
      <c r="J3" t="s">
        <v>22</v>
      </c>
      <c r="K3" s="8">
        <f ca="1">SUMIFS(operations[Amount],operations[Category],expenses_5[[#This Row],[Category]],operations[Month],$B$11)</f>
        <v>0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5123.83</v>
      </c>
      <c r="D4" s="8">
        <f ca="1">SUMIFS(operations[Amount],operations[Bank],flow_5[[#This Row],[Bank]],operations[Product],flow_5[[#This Row],[Product]],operations[Month],$B$11)</f>
        <v>2328.61</v>
      </c>
      <c r="E4" s="9">
        <f ca="1">flow_5[[#This Row],[Opening Balance]] + flow_5[[#This Row],[Operations]]</f>
        <v>7452.4400000000005</v>
      </c>
      <c r="G4" t="s">
        <v>30</v>
      </c>
      <c r="H4" s="8">
        <f ca="1">SUMIFS(operations[Amount],operations[Category],income_5[[#This Row],[Category]],operations[Month],$B$11)</f>
        <v>0</v>
      </c>
      <c r="J4" t="s">
        <v>20</v>
      </c>
      <c r="K4" s="8">
        <f ca="1">SUMIFS(operations[Amount],operations[Category],expenses_5[[#This Row],[Category]],operations[Month],$B$11)</f>
        <v>-80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-91.389999999999986</v>
      </c>
      <c r="D5" s="8">
        <f ca="1">SUMIFS(operations[Amount],operations[Bank],flow_5[[#This Row],[Bank]],operations[Product],flow_5[[#This Row],[Product]],operations[Month],$B$11)</f>
        <v>-908.61</v>
      </c>
      <c r="E5" s="9">
        <f ca="1">flow_5[[#This Row],[Opening Balance]] + flow_5[[#This Row],[Operations]]</f>
        <v>-1000</v>
      </c>
      <c r="G5" t="s">
        <v>15</v>
      </c>
      <c r="H5" s="8">
        <f ca="1">SUMIFS(operations[Amount],operations[Category],income_5[[#This Row],[Category]],operations[Month],$B$11)</f>
        <v>0</v>
      </c>
      <c r="J5" t="s">
        <v>9</v>
      </c>
      <c r="K5" s="8">
        <f ca="1">SUMIFS(operations[Amount],operations[Category],expenses_5[[#This Row],[Category]],operations[Month],$B$11)</f>
        <v>-1000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1200</v>
      </c>
      <c r="D6" s="8">
        <f ca="1">SUMIFS(operations[Amount],operations[Bank],flow_5[[#This Row],[Bank]],operations[Product],flow_5[[#This Row],[Product]],operations[Month],$B$11)</f>
        <v>0</v>
      </c>
      <c r="E6" s="9">
        <f ca="1">flow_5[[#This Row],[Opening Balance]] + flow_5[[#This Row],[Operations]]</f>
        <v>1200</v>
      </c>
      <c r="G6" t="s">
        <v>10</v>
      </c>
      <c r="H6" s="8">
        <f ca="1">SUMIFS(operations[Amount],operations[Category],income_5[[#This Row],[Category]],operations[Month],$B$11)</f>
        <v>4500</v>
      </c>
      <c r="J6" t="s">
        <v>28</v>
      </c>
      <c r="K6" s="8">
        <f ca="1">SUMIFS(operations[Amount],operations[Category],expenses_5[[#This Row],[Category]],operations[Month],$B$11)</f>
        <v>0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225.51</v>
      </c>
      <c r="D7" s="8">
        <f ca="1">SUMIFS(operations[Amount],operations[Bank],flow_5[[#This Row],[Bank]],operations[Product],flow_5[[#This Row],[Product]],operations[Month],$B$11)</f>
        <v>0</v>
      </c>
      <c r="E7" s="9">
        <f ca="1">flow_5[[#This Row],[Opening Balance]] + flow_5[[#This Row],[Operations]]</f>
        <v>225.51</v>
      </c>
      <c r="G7" t="s">
        <v>31</v>
      </c>
      <c r="H7" s="8">
        <f ca="1">SUMIFS(operations[Amount],operations[Category],income_5[[#This Row],[Category]],operations[Month],$B$11)</f>
        <v>0</v>
      </c>
      <c r="J7" t="s">
        <v>14</v>
      </c>
      <c r="K7" s="8">
        <f ca="1">SUMIFS(operations[Amount],operations[Category],expenses_5[[#This Row],[Category]],operations[Month],$B$11)</f>
        <v>-50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670.5</v>
      </c>
      <c r="D8" s="8">
        <f ca="1">SUMIFS(operations[Amount],operations[Bank],flow_5[[#This Row],[Bank]],operations[Product],flow_5[[#This Row],[Product]],operations[Month],$B$11)</f>
        <v>-80</v>
      </c>
      <c r="E8" s="9">
        <f ca="1">flow_5[[#This Row],[Opening Balance]] + flow_5[[#This Row],[Operations]]</f>
        <v>590.5</v>
      </c>
      <c r="G8" t="s">
        <v>38</v>
      </c>
      <c r="H8" s="8">
        <f ca="1">SUBTOTAL(109,income_5[Total])</f>
        <v>4500</v>
      </c>
      <c r="J8" t="s">
        <v>17</v>
      </c>
      <c r="K8" s="8">
        <f ca="1">SUMIFS(operations[Amount],operations[Category],expenses_5[[#This Row],[Category]],operations[Month],$B$11)</f>
        <v>0</v>
      </c>
    </row>
    <row r="9" spans="1:11" x14ac:dyDescent="0.25">
      <c r="A9" s="8" t="s">
        <v>38</v>
      </c>
      <c r="B9" s="8"/>
      <c r="C9" s="8">
        <f ca="1">SUBTOTAL(109,flow_5[Opening Balance])</f>
        <v>7732.95</v>
      </c>
      <c r="D9" s="8">
        <f ca="1">SUBTOTAL(109,flow_5[Operations])</f>
        <v>1290</v>
      </c>
      <c r="E9" s="8">
        <f ca="1">SUBTOTAL(109,flow_5[Closing Balance])</f>
        <v>9022.9500000000007</v>
      </c>
      <c r="J9" t="s">
        <v>23</v>
      </c>
      <c r="K9" s="8">
        <f ca="1">SUMIFS(operations[Amount],operations[Category],expenses_5[[#This Row],[Category]],operations[Month],$B$11)</f>
        <v>0</v>
      </c>
    </row>
    <row r="10" spans="1:11" x14ac:dyDescent="0.25">
      <c r="J10" t="s">
        <v>21</v>
      </c>
      <c r="K10" s="8">
        <f ca="1">SUMIFS(operations[Amount],operations[Category],expenses_5[[#This Row],[Category]],operations[Month],$B$11)</f>
        <v>-80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5</v>
      </c>
      <c r="J11" t="s">
        <v>38</v>
      </c>
      <c r="K11" s="8">
        <f ca="1">SUBTOTAL(109,expenses_5[Total])</f>
        <v>-3210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SUMIFS(operations[Amount],operations[Month],$B$11,operations[Type],balance_5[[#This Row],[Type]])</f>
        <v>-3210</v>
      </c>
    </row>
    <row r="15" spans="1:11" x14ac:dyDescent="0.25">
      <c r="A15" s="8" t="s">
        <v>33</v>
      </c>
      <c r="B15" s="8">
        <f ca="1">SUMIFS(operations[Amount],operations[Month],$B$11,operations[Type],balance_5[[#This Row],[Type]])</f>
        <v>4500</v>
      </c>
    </row>
    <row r="16" spans="1:11" x14ac:dyDescent="0.25">
      <c r="A16" s="8" t="s">
        <v>29</v>
      </c>
      <c r="B16" s="8">
        <f ca="1">SUMIFS(operations[Amount],operations[Month],$B$11,operations[Type],balance_5[[#This Row],[Type]])</f>
        <v>0</v>
      </c>
    </row>
    <row r="17" spans="1:2" x14ac:dyDescent="0.25">
      <c r="A17" s="8" t="s">
        <v>38</v>
      </c>
      <c r="B17" s="8">
        <f ca="1">SUBTOTAL(109,balance_5[Total])</f>
        <v>1290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712E-409F-4AB3-97A8-9CF9CB4DBEE0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218.5</v>
      </c>
      <c r="D2" s="8">
        <f ca="1">SUMIFS(operations[Amount],operations[Bank],flow_6[[#This Row],[Bank]],operations[Product],flow_6[[#This Row],[Product]],operations[Month],$B$11)</f>
        <v>250</v>
      </c>
      <c r="E2" s="9">
        <f ca="1">flow_6[[#This Row],[Opening Balance]] + flow_6[[#This Row],[Operations]]</f>
        <v>468.5</v>
      </c>
      <c r="G2" t="s">
        <v>19</v>
      </c>
      <c r="H2" s="8">
        <f ca="1">SUMIFS(operations[Amount],operations[Category],income_6[[#This Row],[Category]],operations[Month],$B$11)</f>
        <v>400</v>
      </c>
      <c r="J2" t="s">
        <v>11</v>
      </c>
      <c r="K2" s="8">
        <f ca="1">SUMIFS(operations[Amount],operations[Category],expenses_6[[#This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336</v>
      </c>
      <c r="D3" s="8">
        <f ca="1">SUMIFS(operations[Amount],operations[Bank],flow_6[[#This Row],[Bank]],operations[Product],flow_6[[#This Row],[Product]],operations[Month],$B$11)</f>
        <v>0</v>
      </c>
      <c r="E3" s="9">
        <f ca="1">flow_6[[#This Row],[Opening Balance]] + flow_6[[#This Row],[Operations]]</f>
        <v>336</v>
      </c>
      <c r="G3" t="s">
        <v>27</v>
      </c>
      <c r="H3" s="8">
        <f ca="1">SUMIFS(operations[Amount],operations[Category],income_6[[#This Row],[Category]],operations[Month],$B$11)</f>
        <v>0</v>
      </c>
      <c r="J3" t="s">
        <v>22</v>
      </c>
      <c r="K3" s="8">
        <f ca="1">SUMIFS(operations[Amount],operations[Category],expenses_6[[#This Row],[Category]],operations[Month],$B$11)</f>
        <v>-300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7452.4400000000005</v>
      </c>
      <c r="D4" s="8">
        <f ca="1">SUMIFS(operations[Amount],operations[Bank],flow_6[[#This Row],[Bank]],operations[Product],flow_6[[#This Row],[Product]],operations[Month],$B$11)</f>
        <v>1420</v>
      </c>
      <c r="E4" s="9">
        <f ca="1">flow_6[[#This Row],[Opening Balance]] + flow_6[[#This Row],[Operations]]</f>
        <v>8872.44</v>
      </c>
      <c r="G4" t="s">
        <v>30</v>
      </c>
      <c r="H4" s="8">
        <f ca="1">SUMIFS(operations[Amount],operations[Category],income_6[[#This Row],[Category]],operations[Month],$B$11)</f>
        <v>0</v>
      </c>
      <c r="J4" t="s">
        <v>20</v>
      </c>
      <c r="K4" s="8">
        <f ca="1">SUMIFS(operations[Amount],operations[Category],expenses_6[[#This Row],[Category]],operations[Month],$B$11)</f>
        <v>-200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-1000</v>
      </c>
      <c r="D5" s="8">
        <f ca="1">SUMIFS(operations[Amount],operations[Bank],flow_6[[#This Row],[Bank]],operations[Product],flow_6[[#This Row],[Product]],operations[Month],$B$11)</f>
        <v>-300</v>
      </c>
      <c r="E5" s="9">
        <f ca="1">flow_6[[#This Row],[Opening Balance]] + flow_6[[#This Row],[Operations]]</f>
        <v>-1300</v>
      </c>
      <c r="G5" t="s">
        <v>15</v>
      </c>
      <c r="H5" s="8">
        <f ca="1">SUMIFS(operations[Amount],operations[Category],income_6[[#This Row],[Category]],operations[Month],$B$11)</f>
        <v>0</v>
      </c>
      <c r="J5" t="s">
        <v>9</v>
      </c>
      <c r="K5" s="8">
        <f ca="1">SUMIFS(operations[Amount],operations[Category],expenses_6[[#This Row],[Category]],operations[Month],$B$11)</f>
        <v>-1000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1200</v>
      </c>
      <c r="D6" s="8">
        <f ca="1">SUMIFS(operations[Amount],operations[Bank],flow_6[[#This Row],[Bank]],operations[Product],flow_6[[#This Row],[Product]],operations[Month],$B$11)</f>
        <v>0</v>
      </c>
      <c r="E6" s="9">
        <f ca="1">flow_6[[#This Row],[Opening Balance]] + flow_6[[#This Row],[Operations]]</f>
        <v>1200</v>
      </c>
      <c r="G6" t="s">
        <v>10</v>
      </c>
      <c r="H6" s="8">
        <f ca="1">SUMIFS(operations[Amount],operations[Category],income_6[[#This Row],[Category]],operations[Month],$B$11)</f>
        <v>4500</v>
      </c>
      <c r="J6" t="s">
        <v>28</v>
      </c>
      <c r="K6" s="8">
        <f ca="1">SUMIFS(operations[Amount],operations[Category],expenses_6[[#This Row],[Category]],operations[Month],$B$11)</f>
        <v>-100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225.51</v>
      </c>
      <c r="D7" s="8">
        <f ca="1">SUMIFS(operations[Amount],operations[Bank],flow_6[[#This Row],[Bank]],operations[Product],flow_6[[#This Row],[Product]],operations[Month],$B$11)</f>
        <v>0</v>
      </c>
      <c r="E7" s="9">
        <f ca="1">flow_6[[#This Row],[Opening Balance]] + flow_6[[#This Row],[Operations]]</f>
        <v>225.51</v>
      </c>
      <c r="G7" t="s">
        <v>31</v>
      </c>
      <c r="H7" s="8">
        <f ca="1">SUMIFS(operations[Amount],operations[Category],income_6[[#This Row],[Category]],operations[Month],$B$11)</f>
        <v>0</v>
      </c>
      <c r="J7" t="s">
        <v>14</v>
      </c>
      <c r="K7" s="8">
        <f ca="1">SUMIFS(operations[Amount],operations[Category],expenses_6[[#This Row],[Category]],operations[Month],$B$11)</f>
        <v>-50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590.5</v>
      </c>
      <c r="D8" s="8">
        <f ca="1">SUMIFS(operations[Amount],operations[Bank],flow_6[[#This Row],[Bank]],operations[Product],flow_6[[#This Row],[Product]],operations[Month],$B$11)</f>
        <v>-200</v>
      </c>
      <c r="E8" s="9">
        <f ca="1">flow_6[[#This Row],[Opening Balance]] + flow_6[[#This Row],[Operations]]</f>
        <v>390.5</v>
      </c>
      <c r="G8" t="s">
        <v>38</v>
      </c>
      <c r="H8" s="8">
        <f ca="1">SUBTOTAL(109,income_6[Total])</f>
        <v>4900</v>
      </c>
      <c r="J8" t="s">
        <v>17</v>
      </c>
      <c r="K8" s="8">
        <f ca="1">SUMIFS(operations[Amount],operations[Category],expenses_6[[#This Row],[Category]],operations[Month],$B$11)</f>
        <v>0</v>
      </c>
    </row>
    <row r="9" spans="1:11" x14ac:dyDescent="0.25">
      <c r="A9" s="8" t="s">
        <v>38</v>
      </c>
      <c r="B9" s="8"/>
      <c r="C9" s="8">
        <f ca="1">SUBTOTAL(109,flow_6[Opening Balance])</f>
        <v>9022.9500000000007</v>
      </c>
      <c r="D9" s="8">
        <f ca="1">SUBTOTAL(109,flow_6[Operations])</f>
        <v>1170</v>
      </c>
      <c r="E9" s="8">
        <f ca="1">SUBTOTAL(109,flow_6[Closing Balance])</f>
        <v>10192.950000000001</v>
      </c>
      <c r="J9" t="s">
        <v>23</v>
      </c>
      <c r="K9" s="8">
        <f ca="1">SUMIFS(operations[Amount],operations[Category],expenses_6[[#This Row],[Category]],operations[Month],$B$11)</f>
        <v>0</v>
      </c>
    </row>
    <row r="10" spans="1:11" x14ac:dyDescent="0.25">
      <c r="J10" t="s">
        <v>21</v>
      </c>
      <c r="K10" s="8">
        <f ca="1">SUMIFS(operations[Amount],operations[Category],expenses_6[[#This Row],[Category]],operations[Month],$B$11)</f>
        <v>-80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6</v>
      </c>
      <c r="J11" t="s">
        <v>38</v>
      </c>
      <c r="K11" s="8">
        <f ca="1">SUBTOTAL(109,expenses_6[Total])</f>
        <v>-3730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SUMIFS(operations[Amount],operations[Month],$B$11,operations[Type],balance_6[[#This Row],[Type]])</f>
        <v>-3730</v>
      </c>
    </row>
    <row r="15" spans="1:11" x14ac:dyDescent="0.25">
      <c r="A15" s="8" t="s">
        <v>33</v>
      </c>
      <c r="B15" s="8">
        <f ca="1">SUMIFS(operations[Amount],operations[Month],$B$11,operations[Type],balance_6[[#This Row],[Type]])</f>
        <v>4900</v>
      </c>
    </row>
    <row r="16" spans="1:11" x14ac:dyDescent="0.25">
      <c r="A16" s="8" t="s">
        <v>29</v>
      </c>
      <c r="B16" s="8">
        <f ca="1">SUMIFS(operations[Amount],operations[Month],$B$11,operations[Type],balance_6[[#This Row],[Type]])</f>
        <v>0</v>
      </c>
    </row>
    <row r="17" spans="1:2" x14ac:dyDescent="0.25">
      <c r="A17" s="8" t="s">
        <v>38</v>
      </c>
      <c r="B17" s="8">
        <f ca="1">SUBTOTAL(109,balance_6[Total])</f>
        <v>1170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FF81F-8647-4AF2-8BAC-4C17765CF32A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468.5</v>
      </c>
      <c r="D2" s="8">
        <f ca="1">SUMIFS(operations[Amount],operations[Bank],flow_7[[#This Row],[Bank]],operations[Product],flow_7[[#This Row],[Product]],operations[Month],$B$11)</f>
        <v>-100</v>
      </c>
      <c r="E2" s="9">
        <f ca="1">flow_7[[#This Row],[Opening Balance]] + flow_7[[#This Row],[Operations]]</f>
        <v>368.5</v>
      </c>
      <c r="G2" t="s">
        <v>19</v>
      </c>
      <c r="H2" s="8">
        <f ca="1">SUMIFS(operations[Amount],operations[Category],income_7[[#This Row],[Category]],operations[Month],$B$11)</f>
        <v>0</v>
      </c>
      <c r="J2" t="s">
        <v>11</v>
      </c>
      <c r="K2" s="8">
        <f ca="1">SUMIFS(operations[Amount],operations[Category],expenses_7[[#This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336</v>
      </c>
      <c r="D3" s="8">
        <f ca="1">SUMIFS(operations[Amount],operations[Bank],flow_7[[#This Row],[Bank]],operations[Product],flow_7[[#This Row],[Product]],operations[Month],$B$11)</f>
        <v>1050</v>
      </c>
      <c r="E3" s="9">
        <f ca="1">flow_7[[#This Row],[Opening Balance]] + flow_7[[#This Row],[Operations]]</f>
        <v>1386</v>
      </c>
      <c r="G3" t="s">
        <v>27</v>
      </c>
      <c r="H3" s="8">
        <f ca="1">SUMIFS(operations[Amount],operations[Category],income_7[[#This Row],[Category]],operations[Month],$B$11)</f>
        <v>120</v>
      </c>
      <c r="J3" t="s">
        <v>22</v>
      </c>
      <c r="K3" s="8">
        <f ca="1">SUMIFS(operations[Amount],operations[Category],expenses_7[[#This Row],[Category]],operations[Month],$B$11)</f>
        <v>250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8872.44</v>
      </c>
      <c r="D4" s="8">
        <f ca="1">SUMIFS(operations[Amount],operations[Bank],flow_7[[#This Row],[Bank]],operations[Product],flow_7[[#This Row],[Product]],operations[Month],$B$11)</f>
        <v>1010</v>
      </c>
      <c r="E4" s="9">
        <f ca="1">flow_7[[#This Row],[Opening Balance]] + flow_7[[#This Row],[Operations]]</f>
        <v>9882.44</v>
      </c>
      <c r="G4" t="s">
        <v>30</v>
      </c>
      <c r="H4" s="8">
        <f ca="1">SUMIFS(operations[Amount],operations[Category],income_7[[#This Row],[Category]],operations[Month],$B$11)</f>
        <v>800</v>
      </c>
      <c r="J4" t="s">
        <v>20</v>
      </c>
      <c r="K4" s="8">
        <f ca="1">SUMIFS(operations[Amount],operations[Category],expenses_7[[#This Row],[Category]],operations[Month],$B$11)</f>
        <v>-700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-1300</v>
      </c>
      <c r="D5" s="8">
        <f ca="1">SUMIFS(operations[Amount],operations[Bank],flow_7[[#This Row],[Bank]],operations[Product],flow_7[[#This Row],[Product]],operations[Month],$B$11)</f>
        <v>1165</v>
      </c>
      <c r="E5" s="9">
        <f ca="1">flow_7[[#This Row],[Opening Balance]] + flow_7[[#This Row],[Operations]]</f>
        <v>-135</v>
      </c>
      <c r="G5" t="s">
        <v>15</v>
      </c>
      <c r="H5" s="8">
        <f ca="1">SUMIFS(operations[Amount],operations[Category],income_7[[#This Row],[Category]],operations[Month],$B$11)</f>
        <v>0</v>
      </c>
      <c r="J5" t="s">
        <v>9</v>
      </c>
      <c r="K5" s="8">
        <f ca="1">SUMIFS(operations[Amount],operations[Category],expenses_7[[#This Row],[Category]],operations[Month],$B$11)</f>
        <v>-165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1200</v>
      </c>
      <c r="D6" s="8">
        <f ca="1">SUMIFS(operations[Amount],operations[Bank],flow_7[[#This Row],[Bank]],operations[Product],flow_7[[#This Row],[Product]],operations[Month],$B$11)</f>
        <v>-180</v>
      </c>
      <c r="E6" s="9">
        <f ca="1">flow_7[[#This Row],[Opening Balance]] + flow_7[[#This Row],[Operations]]</f>
        <v>1020</v>
      </c>
      <c r="G6" t="s">
        <v>10</v>
      </c>
      <c r="H6" s="8">
        <f ca="1">SUMIFS(operations[Amount],operations[Category],income_7[[#This Row],[Category]],operations[Month],$B$11)</f>
        <v>4500</v>
      </c>
      <c r="J6" t="s">
        <v>28</v>
      </c>
      <c r="K6" s="8">
        <f ca="1">SUMIFS(operations[Amount],operations[Category],expenses_7[[#This Row],[Category]],operations[Month],$B$11)</f>
        <v>-300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225.51</v>
      </c>
      <c r="D7" s="8">
        <f ca="1">SUMIFS(operations[Amount],operations[Bank],flow_7[[#This Row],[Bank]],operations[Product],flow_7[[#This Row],[Product]],operations[Month],$B$11)</f>
        <v>-30</v>
      </c>
      <c r="E7" s="9">
        <f ca="1">flow_7[[#This Row],[Opening Balance]] + flow_7[[#This Row],[Operations]]</f>
        <v>195.51</v>
      </c>
      <c r="G7" t="s">
        <v>31</v>
      </c>
      <c r="H7" s="8">
        <f ca="1">SUMIFS(operations[Amount],operations[Category],income_7[[#This Row],[Category]],operations[Month],$B$11)</f>
        <v>500</v>
      </c>
      <c r="J7" t="s">
        <v>14</v>
      </c>
      <c r="K7" s="8">
        <f ca="1">SUMIFS(operations[Amount],operations[Category],expenses_7[[#This Row],[Category]],operations[Month],$B$11)</f>
        <v>0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390.5</v>
      </c>
      <c r="D8" s="8">
        <f ca="1">SUMIFS(operations[Amount],operations[Bank],flow_7[[#This Row],[Bank]],operations[Product],flow_7[[#This Row],[Product]],operations[Month],$B$11)</f>
        <v>0</v>
      </c>
      <c r="E8" s="9">
        <f ca="1">flow_7[[#This Row],[Opening Balance]] + flow_7[[#This Row],[Operations]]</f>
        <v>390.5</v>
      </c>
      <c r="G8" t="s">
        <v>38</v>
      </c>
      <c r="H8" s="8">
        <f ca="1">SUBTOTAL(109,income_7[Total])</f>
        <v>5920</v>
      </c>
      <c r="J8" t="s">
        <v>17</v>
      </c>
      <c r="K8" s="8">
        <f ca="1">SUMIFS(operations[Amount],operations[Category],expenses_7[[#This Row],[Category]],operations[Month],$B$11)</f>
        <v>0</v>
      </c>
    </row>
    <row r="9" spans="1:11" x14ac:dyDescent="0.25">
      <c r="A9" s="8" t="s">
        <v>38</v>
      </c>
      <c r="B9" s="8"/>
      <c r="C9" s="8">
        <f ca="1">SUBTOTAL(109,flow_7[Opening Balance])</f>
        <v>10192.950000000001</v>
      </c>
      <c r="D9" s="8">
        <f ca="1">SUBTOTAL(109,flow_7[Operations])</f>
        <v>2915</v>
      </c>
      <c r="E9" s="8">
        <f ca="1">SUBTOTAL(109,flow_7[Closing Balance])</f>
        <v>13107.95</v>
      </c>
      <c r="J9" t="s">
        <v>23</v>
      </c>
      <c r="K9" s="8">
        <f ca="1">SUMIFS(operations[Amount],operations[Category],expenses_7[[#This Row],[Category]],operations[Month],$B$11)</f>
        <v>0</v>
      </c>
    </row>
    <row r="10" spans="1:11" x14ac:dyDescent="0.25">
      <c r="J10" t="s">
        <v>21</v>
      </c>
      <c r="K10" s="8">
        <f ca="1">SUMIFS(operations[Amount],operations[Category],expenses_7[[#This Row],[Category]],operations[Month],$B$11)</f>
        <v>-90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7</v>
      </c>
      <c r="J11" t="s">
        <v>38</v>
      </c>
      <c r="K11" s="8">
        <f ca="1">SUBTOTAL(109,expenses_7[Total])</f>
        <v>-3005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SUMIFS(operations[Amount],operations[Month],$B$11,operations[Type],balance_7[[#This Row],[Type]])</f>
        <v>-3005</v>
      </c>
    </row>
    <row r="15" spans="1:11" x14ac:dyDescent="0.25">
      <c r="A15" s="8" t="s">
        <v>33</v>
      </c>
      <c r="B15" s="8">
        <f ca="1">SUMIFS(operations[Amount],operations[Month],$B$11,operations[Type],balance_7[[#This Row],[Type]])</f>
        <v>5920</v>
      </c>
    </row>
    <row r="16" spans="1:11" x14ac:dyDescent="0.25">
      <c r="A16" s="8" t="s">
        <v>29</v>
      </c>
      <c r="B16" s="8">
        <f ca="1">SUMIFS(operations[Amount],operations[Month],$B$11,operations[Type],balance_7[[#This Row],[Type]])</f>
        <v>0</v>
      </c>
    </row>
    <row r="17" spans="1:2" x14ac:dyDescent="0.25">
      <c r="A17" s="8" t="s">
        <v>38</v>
      </c>
      <c r="B17" s="8">
        <f ca="1">SUBTOTAL(109,balance_7[Total])</f>
        <v>2915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B47D-EA5F-4D5F-8D59-68DCD47979C5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368.5</v>
      </c>
      <c r="D2" s="8">
        <f ca="1">SUMIFS(operations[Amount],operations[Bank],flow_8[[#This Row],[Bank]],operations[Product],flow_8[[#This Row],[Product]],operations[Month],$B$11)</f>
        <v>200</v>
      </c>
      <c r="E2" s="9">
        <f ca="1">flow_8[[#This Row],[Opening Balance]] + flow_8[[#This Row],[Operations]]</f>
        <v>568.5</v>
      </c>
      <c r="G2" t="s">
        <v>19</v>
      </c>
      <c r="H2" s="8">
        <f ca="1">SUMIFS(operations[Amount],operations[Category],income_8[[#This Row],[Category]],operations[Month],$B$11)</f>
        <v>0</v>
      </c>
      <c r="J2" t="s">
        <v>11</v>
      </c>
      <c r="K2" s="8">
        <f ca="1">SUMIFS(operations[Amount],operations[Category],expenses_8[[#This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1386</v>
      </c>
      <c r="D3" s="8">
        <f ca="1">SUMIFS(operations[Amount],operations[Bank],flow_8[[#This Row],[Bank]],operations[Product],flow_8[[#This Row],[Product]],operations[Month],$B$11)</f>
        <v>-300</v>
      </c>
      <c r="E3" s="9">
        <f ca="1">flow_8[[#This Row],[Opening Balance]] + flow_8[[#This Row],[Operations]]</f>
        <v>1086</v>
      </c>
      <c r="G3" t="s">
        <v>27</v>
      </c>
      <c r="H3" s="8">
        <f ca="1">SUMIFS(operations[Amount],operations[Category],income_8[[#This Row],[Category]],operations[Month],$B$11)</f>
        <v>0</v>
      </c>
      <c r="J3" t="s">
        <v>22</v>
      </c>
      <c r="K3" s="8">
        <f ca="1">SUMIFS(operations[Amount],operations[Category],expenses_8[[#This Row],[Category]],operations[Month],$B$11)</f>
        <v>-300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9882.44</v>
      </c>
      <c r="D4" s="8">
        <f ca="1">SUMIFS(operations[Amount],operations[Bank],flow_8[[#This Row],[Bank]],operations[Product],flow_8[[#This Row],[Product]],operations[Month],$B$11)</f>
        <v>2495</v>
      </c>
      <c r="E4" s="9">
        <f ca="1">flow_8[[#This Row],[Opening Balance]] + flow_8[[#This Row],[Operations]]</f>
        <v>12377.44</v>
      </c>
      <c r="G4" t="s">
        <v>30</v>
      </c>
      <c r="H4" s="8">
        <f ca="1">SUMIFS(operations[Amount],operations[Category],income_8[[#This Row],[Category]],operations[Month],$B$11)</f>
        <v>400</v>
      </c>
      <c r="J4" t="s">
        <v>20</v>
      </c>
      <c r="K4" s="8">
        <f ca="1">SUMIFS(operations[Amount],operations[Category],expenses_8[[#This Row],[Category]],operations[Month],$B$11)</f>
        <v>-250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-135</v>
      </c>
      <c r="D5" s="8">
        <f ca="1">SUMIFS(operations[Amount],operations[Bank],flow_8[[#This Row],[Bank]],operations[Product],flow_8[[#This Row],[Product]],operations[Month],$B$11)</f>
        <v>33</v>
      </c>
      <c r="E5" s="9">
        <f ca="1">flow_8[[#This Row],[Opening Balance]] + flow_8[[#This Row],[Operations]]</f>
        <v>-102</v>
      </c>
      <c r="G5" t="s">
        <v>15</v>
      </c>
      <c r="H5" s="8">
        <f ca="1">SUMIFS(operations[Amount],operations[Category],income_8[[#This Row],[Category]],operations[Month],$B$11)</f>
        <v>0</v>
      </c>
      <c r="J5" t="s">
        <v>9</v>
      </c>
      <c r="K5" s="8">
        <f ca="1">SUMIFS(operations[Amount],operations[Category],expenses_8[[#This Row],[Category]],operations[Month],$B$11)</f>
        <v>-749.5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1020</v>
      </c>
      <c r="D6" s="8">
        <f ca="1">SUMIFS(operations[Amount],operations[Bank],flow_8[[#This Row],[Bank]],operations[Product],flow_8[[#This Row],[Product]],operations[Month],$B$11)</f>
        <v>-1020</v>
      </c>
      <c r="E6" s="9">
        <f ca="1">flow_8[[#This Row],[Opening Balance]] + flow_8[[#This Row],[Operations]]</f>
        <v>0</v>
      </c>
      <c r="G6" t="s">
        <v>10</v>
      </c>
      <c r="H6" s="8">
        <f ca="1">SUMIFS(operations[Amount],operations[Category],income_8[[#This Row],[Category]],operations[Month],$B$11)</f>
        <v>4500</v>
      </c>
      <c r="J6" t="s">
        <v>28</v>
      </c>
      <c r="K6" s="8">
        <f ca="1">SUMIFS(operations[Amount],operations[Category],expenses_8[[#This Row],[Category]],operations[Month],$B$11)</f>
        <v>-400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195.51</v>
      </c>
      <c r="D7" s="8">
        <f ca="1">SUMIFS(operations[Amount],operations[Bank],flow_8[[#This Row],[Bank]],operations[Product],flow_8[[#This Row],[Product]],operations[Month],$B$11)</f>
        <v>0</v>
      </c>
      <c r="E7" s="9">
        <f ca="1">flow_8[[#This Row],[Opening Balance]] + flow_8[[#This Row],[Operations]]</f>
        <v>195.51</v>
      </c>
      <c r="G7" t="s">
        <v>31</v>
      </c>
      <c r="H7" s="8">
        <f ca="1">SUMIFS(operations[Amount],operations[Category],income_8[[#This Row],[Category]],operations[Month],$B$11)</f>
        <v>500</v>
      </c>
      <c r="J7" t="s">
        <v>14</v>
      </c>
      <c r="K7" s="8">
        <f ca="1">SUMIFS(operations[Amount],operations[Category],expenses_8[[#This Row],[Category]],operations[Month],$B$11)</f>
        <v>0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390.5</v>
      </c>
      <c r="D8" s="8">
        <f ca="1">SUMIFS(operations[Amount],operations[Bank],flow_8[[#This Row],[Bank]],operations[Product],flow_8[[#This Row],[Product]],operations[Month],$B$11)</f>
        <v>2.5</v>
      </c>
      <c r="E8" s="9">
        <f ca="1">flow_8[[#This Row],[Opening Balance]] + flow_8[[#This Row],[Operations]]</f>
        <v>393</v>
      </c>
      <c r="G8" t="s">
        <v>38</v>
      </c>
      <c r="H8" s="8">
        <f ca="1">SUBTOTAL(109,income_8[Total])</f>
        <v>5400</v>
      </c>
      <c r="J8" t="s">
        <v>17</v>
      </c>
      <c r="K8" s="8">
        <f ca="1">SUMIFS(operations[Amount],operations[Category],expenses_8[[#This Row],[Category]],operations[Month],$B$11)</f>
        <v>0</v>
      </c>
    </row>
    <row r="9" spans="1:11" x14ac:dyDescent="0.25">
      <c r="A9" s="8" t="s">
        <v>38</v>
      </c>
      <c r="B9" s="8"/>
      <c r="C9" s="8">
        <f ca="1">SUBTOTAL(109,flow_8[Opening Balance])</f>
        <v>13107.95</v>
      </c>
      <c r="D9" s="8">
        <f ca="1">SUBTOTAL(109,flow_8[Operations])</f>
        <v>1410.5</v>
      </c>
      <c r="E9" s="8">
        <f ca="1">SUBTOTAL(109,flow_8[Closing Balance])</f>
        <v>14518.45</v>
      </c>
      <c r="J9" t="s">
        <v>23</v>
      </c>
      <c r="K9" s="8">
        <f ca="1">SUMIFS(operations[Amount],operations[Category],expenses_8[[#This Row],[Category]],operations[Month],$B$11)</f>
        <v>0</v>
      </c>
    </row>
    <row r="10" spans="1:11" x14ac:dyDescent="0.25">
      <c r="J10" t="s">
        <v>21</v>
      </c>
      <c r="K10" s="8">
        <f ca="1">SUMIFS(operations[Amount],operations[Category],expenses_8[[#This Row],[Category]],operations[Month],$B$11)</f>
        <v>-290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8</v>
      </c>
      <c r="J11" t="s">
        <v>38</v>
      </c>
      <c r="K11" s="8">
        <f ca="1">SUBTOTAL(109,expenses_8[Total])</f>
        <v>-3989.5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SUMIFS(operations[Amount],operations[Month],$B$11,operations[Type],balance_8[[#This Row],[Type]])</f>
        <v>-3989.5</v>
      </c>
    </row>
    <row r="15" spans="1:11" x14ac:dyDescent="0.25">
      <c r="A15" s="8" t="s">
        <v>33</v>
      </c>
      <c r="B15" s="8">
        <f ca="1">SUMIFS(operations[Amount],operations[Month],$B$11,operations[Type],balance_8[[#This Row],[Type]])</f>
        <v>5400</v>
      </c>
    </row>
    <row r="16" spans="1:11" x14ac:dyDescent="0.25">
      <c r="A16" s="8" t="s">
        <v>29</v>
      </c>
      <c r="B16" s="8">
        <f ca="1">SUMIFS(operations[Amount],operations[Month],$B$11,operations[Type],balance_8[[#This Row],[Type]])</f>
        <v>0</v>
      </c>
    </row>
    <row r="17" spans="1:2" x14ac:dyDescent="0.25">
      <c r="A17" s="8" t="s">
        <v>38</v>
      </c>
      <c r="B17" s="8">
        <f ca="1">SUBTOTAL(109,balance_8[Total])</f>
        <v>1410.5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FB8D2-D19A-467D-BF37-A909E7775473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568.5</v>
      </c>
      <c r="D2" s="8">
        <f ca="1">SUMIFS(operations[Amount],operations[Bank],flow_9[[#This Row],[Bank]],operations[Product],flow_9[[#This Row],[Product]],operations[Month],$B$11)</f>
        <v>-20</v>
      </c>
      <c r="E2" s="9">
        <f ca="1">flow_9[[#This Row],[Opening Balance]] + flow_9[[#This Row],[Operations]]</f>
        <v>548.5</v>
      </c>
      <c r="G2" t="s">
        <v>19</v>
      </c>
      <c r="H2" s="8">
        <f ca="1">SUMIFS(operations[Amount],operations[Category],income_9[[#This Row],[Category]],operations[Month],$B$11)</f>
        <v>0</v>
      </c>
      <c r="J2" t="s">
        <v>11</v>
      </c>
      <c r="K2" s="8">
        <f ca="1">SUMIFS(operations[Amount],operations[Category],expenses_9[[#This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1086</v>
      </c>
      <c r="D3" s="8">
        <f ca="1">SUMIFS(operations[Amount],operations[Bank],flow_9[[#This Row],[Bank]],operations[Product],flow_9[[#This Row],[Product]],operations[Month],$B$11)</f>
        <v>0</v>
      </c>
      <c r="E3" s="9">
        <f ca="1">flow_9[[#This Row],[Opening Balance]] + flow_9[[#This Row],[Operations]]</f>
        <v>1086</v>
      </c>
      <c r="G3" t="s">
        <v>27</v>
      </c>
      <c r="H3" s="8">
        <f ca="1">SUMIFS(operations[Amount],operations[Category],income_9[[#This Row],[Category]],operations[Month],$B$11)</f>
        <v>0</v>
      </c>
      <c r="J3" t="s">
        <v>22</v>
      </c>
      <c r="K3" s="8">
        <f ca="1">SUMIFS(operations[Amount],operations[Category],expenses_9[[#This Row],[Category]],operations[Month],$B$11)</f>
        <v>0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12377.44</v>
      </c>
      <c r="D4" s="8">
        <f ca="1">SUMIFS(operations[Amount],operations[Bank],flow_9[[#This Row],[Bank]],operations[Product],flow_9[[#This Row],[Product]],operations[Month],$B$11)</f>
        <v>1689.5</v>
      </c>
      <c r="E4" s="9">
        <f ca="1">flow_9[[#This Row],[Opening Balance]] + flow_9[[#This Row],[Operations]]</f>
        <v>14066.94</v>
      </c>
      <c r="G4" t="s">
        <v>30</v>
      </c>
      <c r="H4" s="8">
        <f ca="1">SUMIFS(operations[Amount],operations[Category],income_9[[#This Row],[Category]],operations[Month],$B$11)</f>
        <v>0</v>
      </c>
      <c r="J4" t="s">
        <v>20</v>
      </c>
      <c r="K4" s="8">
        <f ca="1">SUMIFS(operations[Amount],operations[Category],expenses_9[[#This Row],[Category]],operations[Month],$B$11)</f>
        <v>-20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-102</v>
      </c>
      <c r="D5" s="8">
        <f ca="1">SUMIFS(operations[Amount],operations[Bank],flow_9[[#This Row],[Bank]],operations[Product],flow_9[[#This Row],[Product]],operations[Month],$B$11)</f>
        <v>82</v>
      </c>
      <c r="E5" s="9">
        <f ca="1">flow_9[[#This Row],[Opening Balance]] + flow_9[[#This Row],[Operations]]</f>
        <v>-20</v>
      </c>
      <c r="G5" t="s">
        <v>15</v>
      </c>
      <c r="H5" s="8">
        <f ca="1">SUMIFS(operations[Amount],operations[Category],income_9[[#This Row],[Category]],operations[Month],$B$11)</f>
        <v>0</v>
      </c>
      <c r="J5" t="s">
        <v>9</v>
      </c>
      <c r="K5" s="8">
        <f ca="1">SUMIFS(operations[Amount],operations[Category],expenses_9[[#This Row],[Category]],operations[Month],$B$11)</f>
        <v>-538.5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0</v>
      </c>
      <c r="D6" s="8">
        <f ca="1">SUMIFS(operations[Amount],operations[Bank],flow_9[[#This Row],[Bank]],operations[Product],flow_9[[#This Row],[Product]],operations[Month],$B$11)</f>
        <v>0</v>
      </c>
      <c r="E6" s="9">
        <f ca="1">flow_9[[#This Row],[Opening Balance]] + flow_9[[#This Row],[Operations]]</f>
        <v>0</v>
      </c>
      <c r="G6" t="s">
        <v>10</v>
      </c>
      <c r="H6" s="8">
        <f ca="1">SUMIFS(operations[Amount],operations[Category],income_9[[#This Row],[Category]],operations[Month],$B$11)</f>
        <v>4500</v>
      </c>
      <c r="J6" t="s">
        <v>28</v>
      </c>
      <c r="K6" s="8">
        <f ca="1">SUMIFS(operations[Amount],operations[Category],expenses_9[[#This Row],[Category]],operations[Month],$B$11)</f>
        <v>0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195.51</v>
      </c>
      <c r="D7" s="8">
        <f ca="1">SUMIFS(operations[Amount],operations[Bank],flow_9[[#This Row],[Bank]],operations[Product],flow_9[[#This Row],[Product]],operations[Month],$B$11)</f>
        <v>0</v>
      </c>
      <c r="E7" s="9">
        <f ca="1">flow_9[[#This Row],[Opening Balance]] + flow_9[[#This Row],[Operations]]</f>
        <v>195.51</v>
      </c>
      <c r="G7" t="s">
        <v>31</v>
      </c>
      <c r="H7" s="8">
        <f ca="1">SUMIFS(operations[Amount],operations[Category],income_9[[#This Row],[Category]],operations[Month],$B$11)</f>
        <v>0</v>
      </c>
      <c r="J7" t="s">
        <v>14</v>
      </c>
      <c r="K7" s="8">
        <f ca="1">SUMIFS(operations[Amount],operations[Category],expenses_9[[#This Row],[Category]],operations[Month],$B$11)</f>
        <v>-40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393</v>
      </c>
      <c r="D8" s="8">
        <f ca="1">SUMIFS(operations[Amount],operations[Bank],flow_9[[#This Row],[Bank]],operations[Product],flow_9[[#This Row],[Product]],operations[Month],$B$11)</f>
        <v>0</v>
      </c>
      <c r="E8" s="9">
        <f ca="1">flow_9[[#This Row],[Opening Balance]] + flow_9[[#This Row],[Operations]]</f>
        <v>393</v>
      </c>
      <c r="G8" t="s">
        <v>38</v>
      </c>
      <c r="H8" s="8">
        <f ca="1">SUBTOTAL(109,income_9[Total])</f>
        <v>4500</v>
      </c>
      <c r="J8" t="s">
        <v>17</v>
      </c>
      <c r="K8" s="8">
        <f ca="1">SUMIFS(operations[Amount],operations[Category],expenses_9[[#This Row],[Category]],operations[Month],$B$11)</f>
        <v>0</v>
      </c>
    </row>
    <row r="9" spans="1:11" x14ac:dyDescent="0.25">
      <c r="A9" s="8" t="s">
        <v>38</v>
      </c>
      <c r="B9" s="8"/>
      <c r="C9" s="8">
        <f ca="1">SUBTOTAL(109,flow_9[Opening Balance])</f>
        <v>14518.45</v>
      </c>
      <c r="D9" s="8">
        <f ca="1">SUBTOTAL(109,flow_9[Operations])</f>
        <v>1751.5</v>
      </c>
      <c r="E9" s="8">
        <f ca="1">SUBTOTAL(109,flow_9[Closing Balance])</f>
        <v>16269.95</v>
      </c>
      <c r="J9" t="s">
        <v>23</v>
      </c>
      <c r="K9" s="8">
        <f ca="1">SUMIFS(operations[Amount],operations[Category],expenses_9[[#This Row],[Category]],operations[Month],$B$11)</f>
        <v>0</v>
      </c>
    </row>
    <row r="10" spans="1:11" x14ac:dyDescent="0.25">
      <c r="J10" t="s">
        <v>21</v>
      </c>
      <c r="K10" s="8">
        <f ca="1">SUMIFS(operations[Amount],operations[Category],expenses_9[[#This Row],[Category]],operations[Month],$B$11)</f>
        <v>-150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9</v>
      </c>
      <c r="J11" t="s">
        <v>38</v>
      </c>
      <c r="K11" s="8">
        <f ca="1">SUBTOTAL(109,expenses_9[Total])</f>
        <v>-2748.5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SUMIFS(operations[Amount],operations[Month],$B$11,operations[Type],balance_9[[#This Row],[Type]])</f>
        <v>-2748.5</v>
      </c>
    </row>
    <row r="15" spans="1:11" x14ac:dyDescent="0.25">
      <c r="A15" s="8" t="s">
        <v>33</v>
      </c>
      <c r="B15" s="8">
        <f ca="1">SUMIFS(operations[Amount],operations[Month],$B$11,operations[Type],balance_9[[#This Row],[Type]])</f>
        <v>4500</v>
      </c>
    </row>
    <row r="16" spans="1:11" x14ac:dyDescent="0.25">
      <c r="A16" s="8" t="s">
        <v>29</v>
      </c>
      <c r="B16" s="8">
        <f ca="1">SUMIFS(operations[Amount],operations[Month],$B$11,operations[Type],balance_9[[#This Row],[Type]])</f>
        <v>0</v>
      </c>
    </row>
    <row r="17" spans="1:2" x14ac:dyDescent="0.25">
      <c r="A17" s="8" t="s">
        <v>38</v>
      </c>
      <c r="B17" s="8">
        <f ca="1">SUBTOTAL(109,balance_9[Total])</f>
        <v>1751.5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7408-6814-44AA-A923-264567D91967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548.5</v>
      </c>
      <c r="D2" s="8">
        <f ca="1">SUMIFS(operations[Amount],operations[Bank],flow_10[[#This Row],[Bank]],operations[Product],flow_10[[#This Row],[Product]],operations[Month],$B$11)</f>
        <v>0</v>
      </c>
      <c r="E2" s="9">
        <f ca="1">flow_10[[#This Row],[Opening Balance]] + flow_10[[#This Row],[Operations]]</f>
        <v>548.5</v>
      </c>
      <c r="G2" t="s">
        <v>19</v>
      </c>
      <c r="H2" s="8">
        <f ca="1">SUMIFS(operations[Amount],operations[Category],income_10[[#This Row],[Category]],operations[Month],$B$11)</f>
        <v>0</v>
      </c>
      <c r="J2" t="s">
        <v>11</v>
      </c>
      <c r="K2" s="8">
        <f ca="1">SUMIFS(operations[Amount],operations[Category],expenses_10[[#This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1086</v>
      </c>
      <c r="D3" s="8">
        <f ca="1">SUMIFS(operations[Amount],operations[Bank],flow_10[[#This Row],[Bank]],operations[Product],flow_10[[#This Row],[Product]],operations[Month],$B$11)</f>
        <v>0</v>
      </c>
      <c r="E3" s="9">
        <f ca="1">flow_10[[#This Row],[Opening Balance]] + flow_10[[#This Row],[Operations]]</f>
        <v>1086</v>
      </c>
      <c r="G3" t="s">
        <v>27</v>
      </c>
      <c r="H3" s="8">
        <f ca="1">SUMIFS(operations[Amount],operations[Category],income_10[[#This Row],[Category]],operations[Month],$B$11)</f>
        <v>0</v>
      </c>
      <c r="J3" t="s">
        <v>22</v>
      </c>
      <c r="K3" s="8">
        <f ca="1">SUMIFS(operations[Amount],operations[Category],expenses_10[[#This Row],[Category]],operations[Month],$B$11)</f>
        <v>0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14066.94</v>
      </c>
      <c r="D4" s="8">
        <f ca="1">SUMIFS(operations[Amount],operations[Bank],flow_10[[#This Row],[Bank]],operations[Product],flow_10[[#This Row],[Product]],operations[Month],$B$11)</f>
        <v>1690</v>
      </c>
      <c r="E4" s="9">
        <f ca="1">flow_10[[#This Row],[Opening Balance]] + flow_10[[#This Row],[Operations]]</f>
        <v>15756.94</v>
      </c>
      <c r="G4" t="s">
        <v>30</v>
      </c>
      <c r="H4" s="8">
        <f ca="1">SUMIFS(operations[Amount],operations[Category],income_10[[#This Row],[Category]],operations[Month],$B$11)</f>
        <v>0</v>
      </c>
      <c r="J4" t="s">
        <v>20</v>
      </c>
      <c r="K4" s="8">
        <f ca="1">SUMIFS(operations[Amount],operations[Category],expenses_10[[#This Row],[Category]],operations[Month],$B$11)</f>
        <v>-40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-20</v>
      </c>
      <c r="D5" s="8">
        <f ca="1">SUMIFS(operations[Amount],operations[Bank],flow_10[[#This Row],[Bank]],operations[Product],flow_10[[#This Row],[Product]],operations[Month],$B$11)</f>
        <v>-20</v>
      </c>
      <c r="E5" s="9">
        <f ca="1">flow_10[[#This Row],[Opening Balance]] + flow_10[[#This Row],[Operations]]</f>
        <v>-40</v>
      </c>
      <c r="G5" t="s">
        <v>15</v>
      </c>
      <c r="H5" s="8">
        <f ca="1">SUMIFS(operations[Amount],operations[Category],income_10[[#This Row],[Category]],operations[Month],$B$11)</f>
        <v>0</v>
      </c>
      <c r="J5" t="s">
        <v>9</v>
      </c>
      <c r="K5" s="8">
        <f ca="1">SUMIFS(operations[Amount],operations[Category],expenses_10[[#This Row],[Category]],operations[Month],$B$11)</f>
        <v>-600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0</v>
      </c>
      <c r="D6" s="8">
        <f ca="1">SUMIFS(operations[Amount],operations[Bank],flow_10[[#This Row],[Bank]],operations[Product],flow_10[[#This Row],[Product]],operations[Month],$B$11)</f>
        <v>0</v>
      </c>
      <c r="E6" s="9">
        <f ca="1">flow_10[[#This Row],[Opening Balance]] + flow_10[[#This Row],[Operations]]</f>
        <v>0</v>
      </c>
      <c r="G6" t="s">
        <v>10</v>
      </c>
      <c r="H6" s="8">
        <f ca="1">SUMIFS(operations[Amount],operations[Category],income_10[[#This Row],[Category]],operations[Month],$B$11)</f>
        <v>4500</v>
      </c>
      <c r="J6" t="s">
        <v>28</v>
      </c>
      <c r="K6" s="8">
        <f ca="1">SUMIFS(operations[Amount],operations[Category],expenses_10[[#This Row],[Category]],operations[Month],$B$11)</f>
        <v>0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195.51</v>
      </c>
      <c r="D7" s="8">
        <f ca="1">SUMIFS(operations[Amount],operations[Bank],flow_10[[#This Row],[Bank]],operations[Product],flow_10[[#This Row],[Product]],operations[Month],$B$11)</f>
        <v>0</v>
      </c>
      <c r="E7" s="9">
        <f ca="1">flow_10[[#This Row],[Opening Balance]] + flow_10[[#This Row],[Operations]]</f>
        <v>195.51</v>
      </c>
      <c r="G7" t="s">
        <v>31</v>
      </c>
      <c r="H7" s="8">
        <f ca="1">SUMIFS(operations[Amount],operations[Category],income_10[[#This Row],[Category]],operations[Month],$B$11)</f>
        <v>0</v>
      </c>
      <c r="J7" t="s">
        <v>14</v>
      </c>
      <c r="K7" s="8">
        <f ca="1">SUMIFS(operations[Amount],operations[Category],expenses_10[[#This Row],[Category]],operations[Month],$B$11)</f>
        <v>-40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393</v>
      </c>
      <c r="D8" s="8">
        <f ca="1">SUMIFS(operations[Amount],operations[Bank],flow_10[[#This Row],[Bank]],operations[Product],flow_10[[#This Row],[Product]],operations[Month],$B$11)</f>
        <v>0</v>
      </c>
      <c r="E8" s="9">
        <f ca="1">flow_10[[#This Row],[Opening Balance]] + flow_10[[#This Row],[Operations]]</f>
        <v>393</v>
      </c>
      <c r="G8" t="s">
        <v>38</v>
      </c>
      <c r="H8" s="8">
        <f ca="1">SUBTOTAL(109,income_10[Total])</f>
        <v>4500</v>
      </c>
      <c r="J8" t="s">
        <v>17</v>
      </c>
      <c r="K8" s="8">
        <f ca="1">SUMIFS(operations[Amount],operations[Category],expenses_10[[#This Row],[Category]],operations[Month],$B$11)</f>
        <v>0</v>
      </c>
    </row>
    <row r="9" spans="1:11" x14ac:dyDescent="0.25">
      <c r="A9" s="8" t="s">
        <v>38</v>
      </c>
      <c r="B9" s="8"/>
      <c r="C9" s="8">
        <f ca="1">SUBTOTAL(109,flow_10[Opening Balance])</f>
        <v>16269.95</v>
      </c>
      <c r="D9" s="8">
        <f ca="1">SUBTOTAL(109,flow_10[Operations])</f>
        <v>1670</v>
      </c>
      <c r="E9" s="8">
        <f ca="1">SUBTOTAL(109,flow_10[Closing Balance])</f>
        <v>17939.95</v>
      </c>
      <c r="J9" t="s">
        <v>23</v>
      </c>
      <c r="K9" s="8">
        <f ca="1">SUMIFS(operations[Amount],operations[Category],expenses_10[[#This Row],[Category]],operations[Month],$B$11)</f>
        <v>0</v>
      </c>
    </row>
    <row r="10" spans="1:11" x14ac:dyDescent="0.25">
      <c r="J10" t="s">
        <v>21</v>
      </c>
      <c r="K10" s="8">
        <f ca="1">SUMIFS(operations[Amount],operations[Category],expenses_10[[#This Row],[Category]],operations[Month],$B$11)</f>
        <v>-150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10</v>
      </c>
      <c r="J11" t="s">
        <v>38</v>
      </c>
      <c r="K11" s="8">
        <f ca="1">SUBTOTAL(109,expenses_10[Total])</f>
        <v>-2830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SUMIFS(operations[Amount],operations[Month],$B$11,operations[Type],balance_10[[#This Row],[Type]])</f>
        <v>-2830</v>
      </c>
    </row>
    <row r="15" spans="1:11" x14ac:dyDescent="0.25">
      <c r="A15" s="8" t="s">
        <v>33</v>
      </c>
      <c r="B15" s="8">
        <f ca="1">SUMIFS(operations[Amount],operations[Month],$B$11,operations[Type],balance_10[[#This Row],[Type]])</f>
        <v>4500</v>
      </c>
    </row>
    <row r="16" spans="1:11" x14ac:dyDescent="0.25">
      <c r="A16" s="8" t="s">
        <v>29</v>
      </c>
      <c r="B16" s="8">
        <f ca="1">SUMIFS(operations[Amount],operations[Month],$B$11,operations[Type],balance_10[[#This Row],[Type]])</f>
        <v>0</v>
      </c>
    </row>
    <row r="17" spans="1:2" x14ac:dyDescent="0.25">
      <c r="A17" s="8" t="s">
        <v>38</v>
      </c>
      <c r="B17" s="8">
        <f ca="1">SUBTOTAL(109,balance_10[Total])</f>
        <v>1670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71A3-6A3F-433B-88A2-BCA98431068E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548.5</v>
      </c>
      <c r="D2" s="8">
        <f ca="1">SUMIFS(operations[Amount],operations[Bank],flow_11[[#This Row],[Bank]],operations[Product],flow_11[[#This Row],[Product]],operations[Month],$B$11)</f>
        <v>0</v>
      </c>
      <c r="E2" s="9">
        <f ca="1">flow_11[[#This Row],[Opening Balance]] + flow_11[[#This Row],[Operations]]</f>
        <v>548.5</v>
      </c>
      <c r="G2" t="s">
        <v>19</v>
      </c>
      <c r="H2" s="8">
        <f ca="1">SUMIFS(operations[Amount],operations[Category],income_11[[#This Row],[Category]],operations[Month],$B$11)</f>
        <v>0</v>
      </c>
      <c r="J2" t="s">
        <v>11</v>
      </c>
      <c r="K2" s="8">
        <f ca="1">SUMIFS(operations[Amount],operations[Category],expenses_11[[#This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1086</v>
      </c>
      <c r="D3" s="8">
        <f ca="1">SUMIFS(operations[Amount],operations[Bank],flow_11[[#This Row],[Bank]],operations[Product],flow_11[[#This Row],[Product]],operations[Month],$B$11)</f>
        <v>0</v>
      </c>
      <c r="E3" s="9">
        <f ca="1">flow_11[[#This Row],[Opening Balance]] + flow_11[[#This Row],[Operations]]</f>
        <v>1086</v>
      </c>
      <c r="G3" t="s">
        <v>27</v>
      </c>
      <c r="H3" s="8">
        <f ca="1">SUMIFS(operations[Amount],operations[Category],income_11[[#This Row],[Category]],operations[Month],$B$11)</f>
        <v>0</v>
      </c>
      <c r="J3" t="s">
        <v>22</v>
      </c>
      <c r="K3" s="8">
        <f ca="1">SUMIFS(operations[Amount],operations[Category],expenses_11[[#This Row],[Category]],operations[Month],$B$11)</f>
        <v>-158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15756.94</v>
      </c>
      <c r="D4" s="8">
        <f ca="1">SUMIFS(operations[Amount],operations[Bank],flow_11[[#This Row],[Bank]],operations[Product],flow_11[[#This Row],[Product]],operations[Month],$B$11)</f>
        <v>960</v>
      </c>
      <c r="E4" s="9">
        <f ca="1">flow_11[[#This Row],[Opening Balance]] + flow_11[[#This Row],[Operations]]</f>
        <v>16716.940000000002</v>
      </c>
      <c r="G4" t="s">
        <v>30</v>
      </c>
      <c r="H4" s="8">
        <f ca="1">SUMIFS(operations[Amount],operations[Category],income_11[[#This Row],[Category]],operations[Month],$B$11)</f>
        <v>400</v>
      </c>
      <c r="J4" t="s">
        <v>20</v>
      </c>
      <c r="K4" s="8">
        <f ca="1">SUMIFS(operations[Amount],operations[Category],expenses_11[[#This Row],[Category]],operations[Month],$B$11)</f>
        <v>-214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-40</v>
      </c>
      <c r="D5" s="8">
        <f ca="1">SUMIFS(operations[Amount],operations[Bank],flow_11[[#This Row],[Bank]],operations[Product],flow_11[[#This Row],[Product]],operations[Month],$B$11)</f>
        <v>40</v>
      </c>
      <c r="E5" s="9">
        <f ca="1">flow_11[[#This Row],[Opening Balance]] + flow_11[[#This Row],[Operations]]</f>
        <v>0</v>
      </c>
      <c r="G5" t="s">
        <v>15</v>
      </c>
      <c r="H5" s="8">
        <f ca="1">SUMIFS(operations[Amount],operations[Category],income_11[[#This Row],[Category]],operations[Month],$B$11)</f>
        <v>0</v>
      </c>
      <c r="J5" t="s">
        <v>9</v>
      </c>
      <c r="K5" s="8">
        <f ca="1">SUMIFS(operations[Amount],operations[Category],expenses_11[[#This Row],[Category]],operations[Month],$B$11)</f>
        <v>-506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0</v>
      </c>
      <c r="D6" s="8">
        <f ca="1">SUMIFS(operations[Amount],operations[Bank],flow_11[[#This Row],[Bank]],operations[Product],flow_11[[#This Row],[Product]],operations[Month],$B$11)</f>
        <v>0</v>
      </c>
      <c r="E6" s="9">
        <f ca="1">flow_11[[#This Row],[Opening Balance]] + flow_11[[#This Row],[Operations]]</f>
        <v>0</v>
      </c>
      <c r="G6" t="s">
        <v>10</v>
      </c>
      <c r="H6" s="8">
        <f ca="1">SUMIFS(operations[Amount],operations[Category],income_11[[#This Row],[Category]],operations[Month],$B$11)</f>
        <v>4500</v>
      </c>
      <c r="J6" t="s">
        <v>28</v>
      </c>
      <c r="K6" s="8">
        <f ca="1">SUMIFS(operations[Amount],operations[Category],expenses_11[[#This Row],[Category]],operations[Month],$B$11)</f>
        <v>-133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195.51</v>
      </c>
      <c r="D7" s="8">
        <f ca="1">SUMIFS(operations[Amount],operations[Bank],flow_11[[#This Row],[Bank]],operations[Product],flow_11[[#This Row],[Product]],operations[Month],$B$11)</f>
        <v>0</v>
      </c>
      <c r="E7" s="9">
        <f ca="1">flow_11[[#This Row],[Opening Balance]] + flow_11[[#This Row],[Operations]]</f>
        <v>195.51</v>
      </c>
      <c r="G7" t="s">
        <v>31</v>
      </c>
      <c r="H7" s="8">
        <f ca="1">SUMIFS(operations[Amount],operations[Category],income_11[[#This Row],[Category]],operations[Month],$B$11)</f>
        <v>0</v>
      </c>
      <c r="J7" t="s">
        <v>14</v>
      </c>
      <c r="K7" s="8">
        <f ca="1">SUMIFS(operations[Amount],operations[Category],expenses_11[[#This Row],[Category]],operations[Month],$B$11)</f>
        <v>-47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393</v>
      </c>
      <c r="D8" s="8">
        <f ca="1">SUMIFS(operations[Amount],operations[Bank],flow_11[[#This Row],[Bank]],operations[Product],flow_11[[#This Row],[Product]],operations[Month],$B$11)</f>
        <v>400</v>
      </c>
      <c r="E8" s="9">
        <f ca="1">flow_11[[#This Row],[Opening Balance]] + flow_11[[#This Row],[Operations]]</f>
        <v>793</v>
      </c>
      <c r="G8" t="s">
        <v>38</v>
      </c>
      <c r="H8" s="8">
        <f ca="1">SUBTOTAL(109,income_11[Total])</f>
        <v>4900</v>
      </c>
      <c r="J8" t="s">
        <v>17</v>
      </c>
      <c r="K8" s="8">
        <f ca="1">SUMIFS(operations[Amount],operations[Category],expenses_11[[#This Row],[Category]],operations[Month],$B$11)</f>
        <v>-234</v>
      </c>
    </row>
    <row r="9" spans="1:11" x14ac:dyDescent="0.25">
      <c r="A9" s="8" t="s">
        <v>38</v>
      </c>
      <c r="B9" s="8"/>
      <c r="C9" s="8">
        <f ca="1">SUBTOTAL(109,flow_11[Opening Balance])</f>
        <v>17939.95</v>
      </c>
      <c r="D9" s="8">
        <f ca="1">SUBTOTAL(109,flow_11[Operations])</f>
        <v>1400</v>
      </c>
      <c r="E9" s="8">
        <f ca="1">SUBTOTAL(109,flow_11[Closing Balance])</f>
        <v>19339.95</v>
      </c>
      <c r="J9" t="s">
        <v>23</v>
      </c>
      <c r="K9" s="8">
        <f ca="1">SUMIFS(operations[Amount],operations[Category],expenses_11[[#This Row],[Category]],operations[Month],$B$11)</f>
        <v>0</v>
      </c>
    </row>
    <row r="10" spans="1:11" x14ac:dyDescent="0.25">
      <c r="J10" t="s">
        <v>21</v>
      </c>
      <c r="K10" s="8">
        <f ca="1">SUMIFS(operations[Amount],operations[Category],expenses_11[[#This Row],[Category]],operations[Month],$B$11)</f>
        <v>-208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11</v>
      </c>
      <c r="J11" t="s">
        <v>38</v>
      </c>
      <c r="K11" s="8">
        <f ca="1">SUBTOTAL(109,expenses_11[Total])</f>
        <v>-3500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SUMIFS(operations[Amount],operations[Month],$B$11,operations[Type],balance_11[[#This Row],[Type]])</f>
        <v>-3500</v>
      </c>
    </row>
    <row r="15" spans="1:11" x14ac:dyDescent="0.25">
      <c r="A15" s="8" t="s">
        <v>33</v>
      </c>
      <c r="B15" s="8">
        <f ca="1">SUMIFS(operations[Amount],operations[Month],$B$11,operations[Type],balance_11[[#This Row],[Type]])</f>
        <v>4900</v>
      </c>
    </row>
    <row r="16" spans="1:11" x14ac:dyDescent="0.25">
      <c r="A16" s="8" t="s">
        <v>29</v>
      </c>
      <c r="B16" s="8">
        <f ca="1">SUMIFS(operations[Amount],operations[Month],$B$11,operations[Type],balance_11[[#This Row],[Type]])</f>
        <v>0</v>
      </c>
    </row>
    <row r="17" spans="1:2" x14ac:dyDescent="0.25">
      <c r="A17" s="8" t="s">
        <v>38</v>
      </c>
      <c r="B17" s="8">
        <f ca="1">SUBTOTAL(109,balance_11[Total])</f>
        <v>1400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2041-93CB-4030-88E4-6A3F6CDB9790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548.5</v>
      </c>
      <c r="D2" s="8">
        <f ca="1">SUMIFS(operations[Amount],operations[Bank],flow_12[[#This Row],[Bank]],operations[Product],flow_12[[#This Row],[Product]],operations[Month],$B$11)</f>
        <v>0</v>
      </c>
      <c r="E2" s="9">
        <f ca="1">flow_12[[#This Row],[Opening Balance]] + flow_12[[#This Row],[Operations]]</f>
        <v>548.5</v>
      </c>
      <c r="G2" t="s">
        <v>19</v>
      </c>
      <c r="H2" s="8">
        <f ca="1">SUMIFS(operations[Amount],operations[Category],income_12[[#This Row],[Category]],operations[Month],$B$11)</f>
        <v>0</v>
      </c>
      <c r="J2" t="s">
        <v>11</v>
      </c>
      <c r="K2" s="8">
        <f ca="1">SUMIFS(operations[Amount],operations[Category],expenses_12[[#This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1086</v>
      </c>
      <c r="D3" s="8">
        <f ca="1">SUMIFS(operations[Amount],operations[Bank],flow_12[[#This Row],[Bank]],operations[Product],flow_12[[#This Row],[Product]],operations[Month],$B$11)</f>
        <v>0</v>
      </c>
      <c r="E3" s="9">
        <f ca="1">flow_12[[#This Row],[Opening Balance]] + flow_12[[#This Row],[Operations]]</f>
        <v>1086</v>
      </c>
      <c r="G3" t="s">
        <v>27</v>
      </c>
      <c r="H3" s="8">
        <f ca="1">SUMIFS(operations[Amount],operations[Category],income_12[[#This Row],[Category]],operations[Month],$B$11)</f>
        <v>0</v>
      </c>
      <c r="J3" t="s">
        <v>22</v>
      </c>
      <c r="K3" s="8">
        <f ca="1">SUMIFS(operations[Amount],operations[Category],expenses_12[[#This Row],[Category]],operations[Month],$B$11)</f>
        <v>-120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16716.940000000002</v>
      </c>
      <c r="D4" s="8">
        <f ca="1">SUMIFS(operations[Amount],operations[Bank],flow_12[[#This Row],[Bank]],operations[Product],flow_12[[#This Row],[Product]],operations[Month],$B$11)</f>
        <v>1320</v>
      </c>
      <c r="E4" s="9">
        <f ca="1">flow_12[[#This Row],[Opening Balance]] + flow_12[[#This Row],[Operations]]</f>
        <v>18036.940000000002</v>
      </c>
      <c r="G4" t="s">
        <v>30</v>
      </c>
      <c r="H4" s="8">
        <f ca="1">SUMIFS(operations[Amount],operations[Category],income_12[[#This Row],[Category]],operations[Month],$B$11)</f>
        <v>2000</v>
      </c>
      <c r="J4" t="s">
        <v>20</v>
      </c>
      <c r="K4" s="8">
        <f ca="1">SUMIFS(operations[Amount],operations[Category],expenses_12[[#This Row],[Category]],operations[Month],$B$11)</f>
        <v>-450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0</v>
      </c>
      <c r="D5" s="8">
        <f ca="1">SUMIFS(operations[Amount],operations[Bank],flow_12[[#This Row],[Bank]],operations[Product],flow_12[[#This Row],[Product]],operations[Month],$B$11)</f>
        <v>0</v>
      </c>
      <c r="E5" s="9">
        <f ca="1">flow_12[[#This Row],[Opening Balance]] + flow_12[[#This Row],[Operations]]</f>
        <v>0</v>
      </c>
      <c r="G5" t="s">
        <v>15</v>
      </c>
      <c r="H5" s="8">
        <f ca="1">SUMIFS(operations[Amount],operations[Category],income_12[[#This Row],[Category]],operations[Month],$B$11)</f>
        <v>0</v>
      </c>
      <c r="J5" t="s">
        <v>9</v>
      </c>
      <c r="K5" s="8">
        <f ca="1">SUMIFS(operations[Amount],operations[Category],expenses_12[[#This Row],[Category]],operations[Month],$B$11)</f>
        <v>-700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0</v>
      </c>
      <c r="D6" s="8">
        <f ca="1">SUMIFS(operations[Amount],operations[Bank],flow_12[[#This Row],[Bank]],operations[Product],flow_12[[#This Row],[Product]],operations[Month],$B$11)</f>
        <v>0</v>
      </c>
      <c r="E6" s="9">
        <f ca="1">flow_12[[#This Row],[Opening Balance]] + flow_12[[#This Row],[Operations]]</f>
        <v>0</v>
      </c>
      <c r="G6" t="s">
        <v>10</v>
      </c>
      <c r="H6" s="8">
        <f ca="1">SUMIFS(operations[Amount],operations[Category],income_12[[#This Row],[Category]],operations[Month],$B$11)</f>
        <v>4500</v>
      </c>
      <c r="J6" t="s">
        <v>28</v>
      </c>
      <c r="K6" s="8">
        <f ca="1">SUMIFS(operations[Amount],operations[Category],expenses_12[[#This Row],[Category]],operations[Month],$B$11)</f>
        <v>-10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195.51</v>
      </c>
      <c r="D7" s="8">
        <f ca="1">SUMIFS(operations[Amount],operations[Bank],flow_12[[#This Row],[Bank]],operations[Product],flow_12[[#This Row],[Product]],operations[Month],$B$11)</f>
        <v>0</v>
      </c>
      <c r="E7" s="9">
        <f ca="1">flow_12[[#This Row],[Opening Balance]] + flow_12[[#This Row],[Operations]]</f>
        <v>195.51</v>
      </c>
      <c r="G7" t="s">
        <v>31</v>
      </c>
      <c r="H7" s="8">
        <f ca="1">SUMIFS(operations[Amount],operations[Category],income_12[[#This Row],[Category]],operations[Month],$B$11)</f>
        <v>0</v>
      </c>
      <c r="J7" t="s">
        <v>14</v>
      </c>
      <c r="K7" s="8">
        <f ca="1">SUMIFS(operations[Amount],operations[Category],expenses_12[[#This Row],[Category]],operations[Month],$B$11)</f>
        <v>0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793</v>
      </c>
      <c r="D8" s="8">
        <f ca="1">SUMIFS(operations[Amount],operations[Bank],flow_12[[#This Row],[Bank]],operations[Product],flow_12[[#This Row],[Product]],operations[Month],$B$11)</f>
        <v>1100</v>
      </c>
      <c r="E8" s="9">
        <f ca="1">flow_12[[#This Row],[Opening Balance]] + flow_12[[#This Row],[Operations]]</f>
        <v>1893</v>
      </c>
      <c r="G8" t="s">
        <v>38</v>
      </c>
      <c r="H8" s="8">
        <f ca="1">SUBTOTAL(109,income_12[Total])</f>
        <v>6500</v>
      </c>
      <c r="J8" t="s">
        <v>17</v>
      </c>
      <c r="K8" s="8">
        <f ca="1">SUMIFS(operations[Amount],operations[Category],expenses_12[[#This Row],[Category]],operations[Month],$B$11)</f>
        <v>-700</v>
      </c>
    </row>
    <row r="9" spans="1:11" x14ac:dyDescent="0.25">
      <c r="A9" s="8" t="s">
        <v>38</v>
      </c>
      <c r="B9" s="8"/>
      <c r="C9" s="8">
        <f ca="1">SUBTOTAL(109,flow_12[Opening Balance])</f>
        <v>19339.95</v>
      </c>
      <c r="D9" s="8">
        <f ca="1">SUBTOTAL(109,flow_12[Operations])</f>
        <v>2420</v>
      </c>
      <c r="E9" s="8">
        <f ca="1">SUBTOTAL(109,flow_12[Closing Balance])</f>
        <v>21759.95</v>
      </c>
      <c r="J9" t="s">
        <v>23</v>
      </c>
      <c r="K9" s="8">
        <f ca="1">SUMIFS(operations[Amount],operations[Category],expenses_12[[#This Row],[Category]],operations[Month],$B$11)</f>
        <v>-100</v>
      </c>
    </row>
    <row r="10" spans="1:11" x14ac:dyDescent="0.25">
      <c r="J10" t="s">
        <v>21</v>
      </c>
      <c r="K10" s="8">
        <f ca="1">SUMIFS(operations[Amount],operations[Category],expenses_12[[#This Row],[Category]],operations[Month],$B$11)</f>
        <v>0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12</v>
      </c>
      <c r="J11" t="s">
        <v>38</v>
      </c>
      <c r="K11" s="8">
        <f ca="1">SUBTOTAL(109,expenses_12[Total])</f>
        <v>-4080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SUMIFS(operations[Amount],operations[Month],$B$11,operations[Type],balance_12[[#This Row],[Type]])</f>
        <v>-4080</v>
      </c>
    </row>
    <row r="15" spans="1:11" x14ac:dyDescent="0.25">
      <c r="A15" s="8" t="s">
        <v>33</v>
      </c>
      <c r="B15" s="8">
        <f ca="1">SUMIFS(operations[Amount],operations[Month],$B$11,operations[Type],balance_12[[#This Row],[Type]])</f>
        <v>6500</v>
      </c>
    </row>
    <row r="16" spans="1:11" x14ac:dyDescent="0.25">
      <c r="A16" s="8" t="s">
        <v>29</v>
      </c>
      <c r="B16" s="8">
        <f ca="1">SUMIFS(operations[Amount],operations[Month],$B$11,operations[Type],balance_12[[#This Row],[Type]])</f>
        <v>0</v>
      </c>
    </row>
    <row r="17" spans="1:2" x14ac:dyDescent="0.25">
      <c r="A17" s="8" t="s">
        <v>38</v>
      </c>
      <c r="B17" s="8">
        <f ca="1">SUBTOTAL(109,balance_12[Total])</f>
        <v>2420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799A-59D5-4116-A9BB-D20A1BE8322C}">
  <dimension ref="A1:O19"/>
  <sheetViews>
    <sheetView workbookViewId="0">
      <selection activeCell="B11" sqref="B11"/>
    </sheetView>
  </sheetViews>
  <sheetFormatPr defaultRowHeight="15" x14ac:dyDescent="0.25"/>
  <cols>
    <col min="1" max="1" width="14.5703125" customWidth="1"/>
    <col min="3" max="3" width="14.42578125" customWidth="1"/>
    <col min="4" max="11" width="12" customWidth="1"/>
    <col min="12" max="15" width="13" customWidth="1"/>
  </cols>
  <sheetData>
    <row r="1" spans="1:15" x14ac:dyDescent="0.25">
      <c r="A1" t="s">
        <v>3</v>
      </c>
      <c r="B1" t="s">
        <v>4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38</v>
      </c>
    </row>
    <row r="2" spans="1:15" x14ac:dyDescent="0.25">
      <c r="A2" s="34" t="s">
        <v>11</v>
      </c>
      <c r="B2" s="35" t="s">
        <v>32</v>
      </c>
      <c r="C2" s="8" cm="1">
        <f t="array" ref="C2">SUMIFS(operations[[Amount]:[Amount]], operations[[Category]:[Category]],summary1[[#This Row],[Category]:[Category]],operations[[Month]:[Month]],summary1[[#Headers],[1]])</f>
        <v>-2000</v>
      </c>
      <c r="D2" s="8" cm="1">
        <f t="array" ref="D2">SUMIFS(operations[[Amount]:[Amount]], operations[[Category]:[Category]],summary1[[#This Row],[Category]:[Category]],operations[[Month]:[Month]],summary1[[#Headers],[2]])</f>
        <v>-2000</v>
      </c>
      <c r="E2" s="8" cm="1">
        <f t="array" ref="E2">SUMIFS(operations[[Amount]:[Amount]], operations[[Category]:[Category]],summary1[[#This Row],[Category]:[Category]],operations[[Month]:[Month]],summary1[[#Headers],[3]])</f>
        <v>-2000</v>
      </c>
      <c r="F2" s="8" cm="1">
        <f t="array" ref="F2">SUMIFS(operations[[Amount]:[Amount]], operations[[Category]:[Category]],summary1[[#This Row],[Category]:[Category]],operations[[Month]:[Month]],summary1[[#Headers],[4]])</f>
        <v>-2000</v>
      </c>
      <c r="G2" s="8" cm="1">
        <f t="array" ref="G2">SUMIFS(operations[[Amount]:[Amount]], operations[[Category]:[Category]],summary1[[#This Row],[Category]:[Category]],operations[[Month]:[Month]],summary1[[#Headers],[5]])</f>
        <v>-2000</v>
      </c>
      <c r="H2" s="8" cm="1">
        <f t="array" ref="H2">SUMIFS(operations[[Amount]:[Amount]], operations[[Category]:[Category]],summary1[[#This Row],[Category]:[Category]],operations[[Month]:[Month]],summary1[[#Headers],[6]])</f>
        <v>-2000</v>
      </c>
      <c r="I2" s="8" cm="1">
        <f t="array" ref="I2">SUMIFS(operations[[Amount]:[Amount]], operations[[Category]:[Category]],summary1[[#This Row],[Category]:[Category]],operations[[Month]:[Month]],summary1[[#Headers],[7]])</f>
        <v>-2000</v>
      </c>
      <c r="J2" s="8" cm="1">
        <f t="array" ref="J2">SUMIFS(operations[[Amount]:[Amount]], operations[[Category]:[Category]],summary1[[#This Row],[Category]:[Category]],operations[[Month]:[Month]],summary1[[#Headers],[8]])</f>
        <v>-2000</v>
      </c>
      <c r="K2" s="8" cm="1">
        <f t="array" ref="K2">SUMIFS(operations[[Amount]:[Amount]], operations[[Category]:[Category]],summary1[[#This Row],[Category]:[Category]],operations[[Month]:[Month]],summary1[[#Headers],[9]])</f>
        <v>-2000</v>
      </c>
      <c r="L2" s="8" cm="1">
        <f t="array" ref="L2">SUMIFS(operations[[Amount]:[Amount]], operations[[Category]:[Category]],summary1[[#This Row],[Category]:[Category]],operations[[Month]:[Month]],summary1[[#Headers],[10]])</f>
        <v>-2000</v>
      </c>
      <c r="M2" s="8" cm="1">
        <f t="array" ref="M2">SUMIFS(operations[[Amount]:[Amount]], operations[[Category]:[Category]],summary1[[#This Row],[Category]:[Category]],operations[[Month]:[Month]],summary1[[#Headers],[11]])</f>
        <v>-2000</v>
      </c>
      <c r="N2" s="8" cm="1">
        <f t="array" ref="N2">SUMIFS(operations[[Amount]:[Amount]], operations[[Category]:[Category]],summary1[[#This Row],[Category]:[Category]],operations[[Month]:[Month]],summary1[[#Headers],[12]])</f>
        <v>-2000</v>
      </c>
      <c r="O2" s="8">
        <f>SUM(summary1[[#This Row],[2]:[12]])</f>
        <v>-22000</v>
      </c>
    </row>
    <row r="3" spans="1:15" x14ac:dyDescent="0.25">
      <c r="A3" s="12" t="s">
        <v>22</v>
      </c>
      <c r="B3" s="13" t="s">
        <v>32</v>
      </c>
      <c r="C3" s="8" cm="1">
        <f t="array" ref="C3">SUMIFS(operations[[Amount]:[Amount]], operations[[Category]:[Category]],summary1[[#This Row],[Category]:[Category]],operations[[Month]:[Month]],summary1[[#Headers],[1]])</f>
        <v>-80</v>
      </c>
      <c r="D3" s="8" cm="1">
        <f t="array" ref="D3">SUMIFS(operations[[Amount]:[Amount]], operations[[Category]:[Category]],summary1[[#This Row],[Category]:[Category]],operations[[Month]:[Month]],summary1[[#Headers],[2]])</f>
        <v>0</v>
      </c>
      <c r="E3" s="8" cm="1">
        <f t="array" ref="E3">SUMIFS(operations[[Amount]:[Amount]], operations[[Category]:[Category]],summary1[[#This Row],[Category]:[Category]],operations[[Month]:[Month]],summary1[[#Headers],[3]])</f>
        <v>-469.9</v>
      </c>
      <c r="F3" s="8" cm="1">
        <f t="array" ref="F3">SUMIFS(operations[[Amount]:[Amount]], operations[[Category]:[Category]],summary1[[#This Row],[Category]:[Category]],operations[[Month]:[Month]],summary1[[#Headers],[4]])</f>
        <v>-149</v>
      </c>
      <c r="G3" s="8" cm="1">
        <f t="array" ref="G3">SUMIFS(operations[[Amount]:[Amount]], operations[[Category]:[Category]],summary1[[#This Row],[Category]:[Category]],operations[[Month]:[Month]],summary1[[#Headers],[5]])</f>
        <v>0</v>
      </c>
      <c r="H3" s="8" cm="1">
        <f t="array" ref="H3">SUMIFS(operations[[Amount]:[Amount]], operations[[Category]:[Category]],summary1[[#This Row],[Category]:[Category]],operations[[Month]:[Month]],summary1[[#Headers],[6]])</f>
        <v>-300</v>
      </c>
      <c r="I3" s="8" cm="1">
        <f t="array" ref="I3">SUMIFS(operations[[Amount]:[Amount]], operations[[Category]:[Category]],summary1[[#This Row],[Category]:[Category]],operations[[Month]:[Month]],summary1[[#Headers],[7]])</f>
        <v>250</v>
      </c>
      <c r="J3" s="8" cm="1">
        <f t="array" ref="J3">SUMIFS(operations[[Amount]:[Amount]], operations[[Category]:[Category]],summary1[[#This Row],[Category]:[Category]],operations[[Month]:[Month]],summary1[[#Headers],[8]])</f>
        <v>-300</v>
      </c>
      <c r="K3" s="8" cm="1">
        <f t="array" ref="K3">SUMIFS(operations[[Amount]:[Amount]], operations[[Category]:[Category]],summary1[[#This Row],[Category]:[Category]],operations[[Month]:[Month]],summary1[[#Headers],[9]])</f>
        <v>0</v>
      </c>
      <c r="L3" s="8" cm="1">
        <f t="array" ref="L3">SUMIFS(operations[[Amount]:[Amount]], operations[[Category]:[Category]],summary1[[#This Row],[Category]:[Category]],operations[[Month]:[Month]],summary1[[#Headers],[10]])</f>
        <v>0</v>
      </c>
      <c r="M3" s="8" cm="1">
        <f t="array" ref="M3">SUMIFS(operations[[Amount]:[Amount]], operations[[Category]:[Category]],summary1[[#This Row],[Category]:[Category]],operations[[Month]:[Month]],summary1[[#Headers],[11]])</f>
        <v>-158</v>
      </c>
      <c r="N3" s="8" cm="1">
        <f t="array" ref="N3">SUMIFS(operations[[Amount]:[Amount]], operations[[Category]:[Category]],summary1[[#This Row],[Category]:[Category]],operations[[Month]:[Month]],summary1[[#Headers],[12]])</f>
        <v>-120</v>
      </c>
      <c r="O3" s="8">
        <f>SUM(summary1[[#This Row],[2]:[12]])</f>
        <v>-1246.9000000000001</v>
      </c>
    </row>
    <row r="4" spans="1:15" x14ac:dyDescent="0.25">
      <c r="A4" s="34" t="s">
        <v>20</v>
      </c>
      <c r="B4" s="35" t="s">
        <v>32</v>
      </c>
      <c r="C4" s="8" cm="1">
        <f t="array" ref="C4">SUMIFS(operations[[Amount]:[Amount]], operations[[Category]:[Category]],summary1[[#This Row],[Category]:[Category]],operations[[Month]:[Month]],summary1[[#Headers],[1]])</f>
        <v>-85</v>
      </c>
      <c r="D4" s="8" cm="1">
        <f t="array" ref="D4">SUMIFS(operations[[Amount]:[Amount]], operations[[Category]:[Category]],summary1[[#This Row],[Category]:[Category]],operations[[Month]:[Month]],summary1[[#Headers],[2]])</f>
        <v>-350</v>
      </c>
      <c r="E4" s="8" cm="1">
        <f t="array" ref="E4">SUMIFS(operations[[Amount]:[Amount]], operations[[Category]:[Category]],summary1[[#This Row],[Category]:[Category]],operations[[Month]:[Month]],summary1[[#Headers],[3]])</f>
        <v>-200</v>
      </c>
      <c r="F4" s="8" cm="1">
        <f t="array" ref="F4">SUMIFS(operations[[Amount]:[Amount]], operations[[Category]:[Category]],summary1[[#This Row],[Category]:[Category]],operations[[Month]:[Month]],summary1[[#Headers],[4]])</f>
        <v>-1057.9000000000001</v>
      </c>
      <c r="G4" s="8" cm="1">
        <f t="array" ref="G4">SUMIFS(operations[[Amount]:[Amount]], operations[[Category]:[Category]],summary1[[#This Row],[Category]:[Category]],operations[[Month]:[Month]],summary1[[#Headers],[5]])</f>
        <v>-80</v>
      </c>
      <c r="H4" s="8" cm="1">
        <f t="array" ref="H4">SUMIFS(operations[[Amount]:[Amount]], operations[[Category]:[Category]],summary1[[#This Row],[Category]:[Category]],operations[[Month]:[Month]],summary1[[#Headers],[6]])</f>
        <v>-200</v>
      </c>
      <c r="I4" s="8" cm="1">
        <f t="array" ref="I4">SUMIFS(operations[[Amount]:[Amount]], operations[[Category]:[Category]],summary1[[#This Row],[Category]:[Category]],operations[[Month]:[Month]],summary1[[#Headers],[7]])</f>
        <v>-700</v>
      </c>
      <c r="J4" s="8" cm="1">
        <f t="array" ref="J4">SUMIFS(operations[[Amount]:[Amount]], operations[[Category]:[Category]],summary1[[#This Row],[Category]:[Category]],operations[[Month]:[Month]],summary1[[#Headers],[8]])</f>
        <v>-250</v>
      </c>
      <c r="K4" s="8" cm="1">
        <f t="array" ref="K4">SUMIFS(operations[[Amount]:[Amount]], operations[[Category]:[Category]],summary1[[#This Row],[Category]:[Category]],operations[[Month]:[Month]],summary1[[#Headers],[9]])</f>
        <v>-20</v>
      </c>
      <c r="L4" s="8" cm="1">
        <f t="array" ref="L4">SUMIFS(operations[[Amount]:[Amount]], operations[[Category]:[Category]],summary1[[#This Row],[Category]:[Category]],operations[[Month]:[Month]],summary1[[#Headers],[10]])</f>
        <v>-40</v>
      </c>
      <c r="M4" s="8" cm="1">
        <f t="array" ref="M4">SUMIFS(operations[[Amount]:[Amount]], operations[[Category]:[Category]],summary1[[#This Row],[Category]:[Category]],operations[[Month]:[Month]],summary1[[#Headers],[11]])</f>
        <v>-214</v>
      </c>
      <c r="N4" s="8" cm="1">
        <f t="array" ref="N4">SUMIFS(operations[[Amount]:[Amount]], operations[[Category]:[Category]],summary1[[#This Row],[Category]:[Category]],operations[[Month]:[Month]],summary1[[#Headers],[12]])</f>
        <v>-450</v>
      </c>
      <c r="O4" s="8">
        <f>SUM(summary1[[#This Row],[2]:[12]])</f>
        <v>-3561.9</v>
      </c>
    </row>
    <row r="5" spans="1:15" x14ac:dyDescent="0.25">
      <c r="A5" s="12" t="s">
        <v>9</v>
      </c>
      <c r="B5" s="13" t="s">
        <v>32</v>
      </c>
      <c r="C5" s="8" cm="1">
        <f t="array" ref="C5">SUMIFS(operations[[Amount]:[Amount]], operations[[Category]:[Category]],summary1[[#This Row],[Category]:[Category]],operations[[Month]:[Month]],summary1[[#Headers],[1]])</f>
        <v>-1715</v>
      </c>
      <c r="D5" s="8" cm="1">
        <f t="array" ref="D5">SUMIFS(operations[[Amount]:[Amount]], operations[[Category]:[Category]],summary1[[#This Row],[Category]:[Category]],operations[[Month]:[Month]],summary1[[#Headers],[2]])</f>
        <v>-405.5</v>
      </c>
      <c r="E5" s="8" cm="1">
        <f t="array" ref="E5">SUMIFS(operations[[Amount]:[Amount]], operations[[Category]:[Category]],summary1[[#This Row],[Category]:[Category]],operations[[Month]:[Month]],summary1[[#Headers],[3]])</f>
        <v>-734.99</v>
      </c>
      <c r="F5" s="8" cm="1">
        <f t="array" ref="F5">SUMIFS(operations[[Amount]:[Amount]], operations[[Category]:[Category]],summary1[[#This Row],[Category]:[Category]],operations[[Month]:[Month]],summary1[[#Headers],[4]])</f>
        <v>-372.26</v>
      </c>
      <c r="G5" s="8" cm="1">
        <f t="array" ref="G5">SUMIFS(operations[[Amount]:[Amount]], operations[[Category]:[Category]],summary1[[#This Row],[Category]:[Category]],operations[[Month]:[Month]],summary1[[#Headers],[5]])</f>
        <v>-1000</v>
      </c>
      <c r="H5" s="8" cm="1">
        <f t="array" ref="H5">SUMIFS(operations[[Amount]:[Amount]], operations[[Category]:[Category]],summary1[[#This Row],[Category]:[Category]],operations[[Month]:[Month]],summary1[[#Headers],[6]])</f>
        <v>-1000</v>
      </c>
      <c r="I5" s="8" cm="1">
        <f t="array" ref="I5">SUMIFS(operations[[Amount]:[Amount]], operations[[Category]:[Category]],summary1[[#This Row],[Category]:[Category]],operations[[Month]:[Month]],summary1[[#Headers],[7]])</f>
        <v>-165</v>
      </c>
      <c r="J5" s="8" cm="1">
        <f t="array" ref="J5">SUMIFS(operations[[Amount]:[Amount]], operations[[Category]:[Category]],summary1[[#This Row],[Category]:[Category]],operations[[Month]:[Month]],summary1[[#Headers],[8]])</f>
        <v>-749.5</v>
      </c>
      <c r="K5" s="8" cm="1">
        <f t="array" ref="K5">SUMIFS(operations[[Amount]:[Amount]], operations[[Category]:[Category]],summary1[[#This Row],[Category]:[Category]],operations[[Month]:[Month]],summary1[[#Headers],[9]])</f>
        <v>-538.5</v>
      </c>
      <c r="L5" s="8" cm="1">
        <f t="array" ref="L5">SUMIFS(operations[[Amount]:[Amount]], operations[[Category]:[Category]],summary1[[#This Row],[Category]:[Category]],operations[[Month]:[Month]],summary1[[#Headers],[10]])</f>
        <v>-600</v>
      </c>
      <c r="M5" s="8" cm="1">
        <f t="array" ref="M5">SUMIFS(operations[[Amount]:[Amount]], operations[[Category]:[Category]],summary1[[#This Row],[Category]:[Category]],operations[[Month]:[Month]],summary1[[#Headers],[11]])</f>
        <v>-506</v>
      </c>
      <c r="N5" s="8" cm="1">
        <f t="array" ref="N5">SUMIFS(operations[[Amount]:[Amount]], operations[[Category]:[Category]],summary1[[#This Row],[Category]:[Category]],operations[[Month]:[Month]],summary1[[#Headers],[12]])</f>
        <v>-700</v>
      </c>
      <c r="O5" s="8">
        <f>SUM(summary1[[#This Row],[2]:[12]])</f>
        <v>-6771.75</v>
      </c>
    </row>
    <row r="6" spans="1:15" x14ac:dyDescent="0.25">
      <c r="A6" s="34" t="s">
        <v>28</v>
      </c>
      <c r="B6" s="35" t="s">
        <v>32</v>
      </c>
      <c r="C6" s="8" cm="1">
        <f t="array" ref="C6">SUMIFS(operations[[Amount]:[Amount]], operations[[Category]:[Category]],summary1[[#This Row],[Category]:[Category]],operations[[Month]:[Month]],summary1[[#Headers],[1]])</f>
        <v>-100</v>
      </c>
      <c r="D6" s="8" cm="1">
        <f t="array" ref="D6">SUMIFS(operations[[Amount]:[Amount]], operations[[Category]:[Category]],summary1[[#This Row],[Category]:[Category]],operations[[Month]:[Month]],summary1[[#Headers],[2]])</f>
        <v>-250</v>
      </c>
      <c r="E6" s="8" cm="1">
        <f t="array" ref="E6">SUMIFS(operations[[Amount]:[Amount]], operations[[Category]:[Category]],summary1[[#This Row],[Category]:[Category]],operations[[Month]:[Month]],summary1[[#Headers],[3]])</f>
        <v>-9.5</v>
      </c>
      <c r="F6" s="8" cm="1">
        <f t="array" ref="F6">SUMIFS(operations[[Amount]:[Amount]], operations[[Category]:[Category]],summary1[[#This Row],[Category]:[Category]],operations[[Month]:[Month]],summary1[[#Headers],[4]])</f>
        <v>-23.5</v>
      </c>
      <c r="G6" s="8" cm="1">
        <f t="array" ref="G6">SUMIFS(operations[[Amount]:[Amount]], operations[[Category]:[Category]],summary1[[#This Row],[Category]:[Category]],operations[[Month]:[Month]],summary1[[#Headers],[5]])</f>
        <v>0</v>
      </c>
      <c r="H6" s="8" cm="1">
        <f t="array" ref="H6">SUMIFS(operations[[Amount]:[Amount]], operations[[Category]:[Category]],summary1[[#This Row],[Category]:[Category]],operations[[Month]:[Month]],summary1[[#Headers],[6]])</f>
        <v>-100</v>
      </c>
      <c r="I6" s="8" cm="1">
        <f t="array" ref="I6">SUMIFS(operations[[Amount]:[Amount]], operations[[Category]:[Category]],summary1[[#This Row],[Category]:[Category]],operations[[Month]:[Month]],summary1[[#Headers],[7]])</f>
        <v>-300</v>
      </c>
      <c r="J6" s="8" cm="1">
        <f t="array" ref="J6">SUMIFS(operations[[Amount]:[Amount]], operations[[Category]:[Category]],summary1[[#This Row],[Category]:[Category]],operations[[Month]:[Month]],summary1[[#Headers],[8]])</f>
        <v>-400</v>
      </c>
      <c r="K6" s="8" cm="1">
        <f t="array" ref="K6">SUMIFS(operations[[Amount]:[Amount]], operations[[Category]:[Category]],summary1[[#This Row],[Category]:[Category]],operations[[Month]:[Month]],summary1[[#Headers],[9]])</f>
        <v>0</v>
      </c>
      <c r="L6" s="8" cm="1">
        <f t="array" ref="L6">SUMIFS(operations[[Amount]:[Amount]], operations[[Category]:[Category]],summary1[[#This Row],[Category]:[Category]],operations[[Month]:[Month]],summary1[[#Headers],[10]])</f>
        <v>0</v>
      </c>
      <c r="M6" s="8" cm="1">
        <f t="array" ref="M6">SUMIFS(operations[[Amount]:[Amount]], operations[[Category]:[Category]],summary1[[#This Row],[Category]:[Category]],operations[[Month]:[Month]],summary1[[#Headers],[11]])</f>
        <v>-133</v>
      </c>
      <c r="N6" s="8" cm="1">
        <f t="array" ref="N6">SUMIFS(operations[[Amount]:[Amount]], operations[[Category]:[Category]],summary1[[#This Row],[Category]:[Category]],operations[[Month]:[Month]],summary1[[#Headers],[12]])</f>
        <v>-10</v>
      </c>
      <c r="O6" s="8">
        <f>SUM(summary1[[#This Row],[2]:[12]])</f>
        <v>-1226</v>
      </c>
    </row>
    <row r="7" spans="1:15" x14ac:dyDescent="0.25">
      <c r="A7" s="12" t="s">
        <v>14</v>
      </c>
      <c r="B7" s="13" t="s">
        <v>32</v>
      </c>
      <c r="C7" s="8" cm="1">
        <f t="array" ref="C7">SUMIFS(operations[[Amount]:[Amount]], operations[[Category]:[Category]],summary1[[#This Row],[Category]:[Category]],operations[[Month]:[Month]],summary1[[#Headers],[1]])</f>
        <v>-150</v>
      </c>
      <c r="D7" s="8" cm="1">
        <f t="array" ref="D7">SUMIFS(operations[[Amount]:[Amount]], operations[[Category]:[Category]],summary1[[#This Row],[Category]:[Category]],operations[[Month]:[Month]],summary1[[#Headers],[2]])</f>
        <v>-150</v>
      </c>
      <c r="E7" s="8" cm="1">
        <f t="array" ref="E7">SUMIFS(operations[[Amount]:[Amount]], operations[[Category]:[Category]],summary1[[#This Row],[Category]:[Category]],operations[[Month]:[Month]],summary1[[#Headers],[3]])</f>
        <v>-23</v>
      </c>
      <c r="F7" s="8" cm="1">
        <f t="array" ref="F7">SUMIFS(operations[[Amount]:[Amount]], operations[[Category]:[Category]],summary1[[#This Row],[Category]:[Category]],operations[[Month]:[Month]],summary1[[#Headers],[4]])</f>
        <v>-49</v>
      </c>
      <c r="G7" s="8" cm="1">
        <f t="array" ref="G7">SUMIFS(operations[[Amount]:[Amount]], operations[[Category]:[Category]],summary1[[#This Row],[Category]:[Category]],operations[[Month]:[Month]],summary1[[#Headers],[5]])</f>
        <v>-50</v>
      </c>
      <c r="H7" s="8" cm="1">
        <f t="array" ref="H7">SUMIFS(operations[[Amount]:[Amount]], operations[[Category]:[Category]],summary1[[#This Row],[Category]:[Category]],operations[[Month]:[Month]],summary1[[#Headers],[6]])</f>
        <v>-50</v>
      </c>
      <c r="I7" s="8" cm="1">
        <f t="array" ref="I7">SUMIFS(operations[[Amount]:[Amount]], operations[[Category]:[Category]],summary1[[#This Row],[Category]:[Category]],operations[[Month]:[Month]],summary1[[#Headers],[7]])</f>
        <v>0</v>
      </c>
      <c r="J7" s="8" cm="1">
        <f t="array" ref="J7">SUMIFS(operations[[Amount]:[Amount]], operations[[Category]:[Category]],summary1[[#This Row],[Category]:[Category]],operations[[Month]:[Month]],summary1[[#Headers],[8]])</f>
        <v>0</v>
      </c>
      <c r="K7" s="8" cm="1">
        <f t="array" ref="K7">SUMIFS(operations[[Amount]:[Amount]], operations[[Category]:[Category]],summary1[[#This Row],[Category]:[Category]],operations[[Month]:[Month]],summary1[[#Headers],[9]])</f>
        <v>-40</v>
      </c>
      <c r="L7" s="8" cm="1">
        <f t="array" ref="L7">SUMIFS(operations[[Amount]:[Amount]], operations[[Category]:[Category]],summary1[[#This Row],[Category]:[Category]],operations[[Month]:[Month]],summary1[[#Headers],[10]])</f>
        <v>-40</v>
      </c>
      <c r="M7" s="8" cm="1">
        <f t="array" ref="M7">SUMIFS(operations[[Amount]:[Amount]], operations[[Category]:[Category]],summary1[[#This Row],[Category]:[Category]],operations[[Month]:[Month]],summary1[[#Headers],[11]])</f>
        <v>-47</v>
      </c>
      <c r="N7" s="8" cm="1">
        <f t="array" ref="N7">SUMIFS(operations[[Amount]:[Amount]], operations[[Category]:[Category]],summary1[[#This Row],[Category]:[Category]],operations[[Month]:[Month]],summary1[[#Headers],[12]])</f>
        <v>0</v>
      </c>
      <c r="O7" s="8">
        <f>SUM(summary1[[#This Row],[2]:[12]])</f>
        <v>-449</v>
      </c>
    </row>
    <row r="8" spans="1:15" x14ac:dyDescent="0.25">
      <c r="A8" s="34" t="s">
        <v>17</v>
      </c>
      <c r="B8" s="35" t="s">
        <v>32</v>
      </c>
      <c r="C8" s="8" cm="1">
        <f t="array" ref="C8">SUMIFS(operations[[Amount]:[Amount]], operations[[Category]:[Category]],summary1[[#This Row],[Category]:[Category]],operations[[Month]:[Month]],summary1[[#Headers],[1]])</f>
        <v>-500</v>
      </c>
      <c r="D8" s="8" cm="1">
        <f t="array" ref="D8">SUMIFS(operations[[Amount]:[Amount]], operations[[Category]:[Category]],summary1[[#This Row],[Category]:[Category]],operations[[Month]:[Month]],summary1[[#Headers],[2]])</f>
        <v>-765</v>
      </c>
      <c r="E8" s="8" cm="1">
        <f t="array" ref="E8">SUMIFS(operations[[Amount]:[Amount]], operations[[Category]:[Category]],summary1[[#This Row],[Category]:[Category]],operations[[Month]:[Month]],summary1[[#Headers],[3]])</f>
        <v>-300</v>
      </c>
      <c r="F8" s="8" cm="1">
        <f t="array" ref="F8">SUMIFS(operations[[Amount]:[Amount]], operations[[Category]:[Category]],summary1[[#This Row],[Category]:[Category]],operations[[Month]:[Month]],summary1[[#Headers],[4]])</f>
        <v>-100</v>
      </c>
      <c r="G8" s="8" cm="1">
        <f t="array" ref="G8">SUMIFS(operations[[Amount]:[Amount]], operations[[Category]:[Category]],summary1[[#This Row],[Category]:[Category]],operations[[Month]:[Month]],summary1[[#Headers],[5]])</f>
        <v>0</v>
      </c>
      <c r="H8" s="8" cm="1">
        <f t="array" ref="H8">SUMIFS(operations[[Amount]:[Amount]], operations[[Category]:[Category]],summary1[[#This Row],[Category]:[Category]],operations[[Month]:[Month]],summary1[[#Headers],[6]])</f>
        <v>0</v>
      </c>
      <c r="I8" s="8" cm="1">
        <f t="array" ref="I8">SUMIFS(operations[[Amount]:[Amount]], operations[[Category]:[Category]],summary1[[#This Row],[Category]:[Category]],operations[[Month]:[Month]],summary1[[#Headers],[7]])</f>
        <v>0</v>
      </c>
      <c r="J8" s="8" cm="1">
        <f t="array" ref="J8">SUMIFS(operations[[Amount]:[Amount]], operations[[Category]:[Category]],summary1[[#This Row],[Category]:[Category]],operations[[Month]:[Month]],summary1[[#Headers],[8]])</f>
        <v>0</v>
      </c>
      <c r="K8" s="8" cm="1">
        <f t="array" ref="K8">SUMIFS(operations[[Amount]:[Amount]], operations[[Category]:[Category]],summary1[[#This Row],[Category]:[Category]],operations[[Month]:[Month]],summary1[[#Headers],[9]])</f>
        <v>0</v>
      </c>
      <c r="L8" s="8" cm="1">
        <f t="array" ref="L8">SUMIFS(operations[[Amount]:[Amount]], operations[[Category]:[Category]],summary1[[#This Row],[Category]:[Category]],operations[[Month]:[Month]],summary1[[#Headers],[10]])</f>
        <v>0</v>
      </c>
      <c r="M8" s="8" cm="1">
        <f t="array" ref="M8">SUMIFS(operations[[Amount]:[Amount]], operations[[Category]:[Category]],summary1[[#This Row],[Category]:[Category]],operations[[Month]:[Month]],summary1[[#Headers],[11]])</f>
        <v>-234</v>
      </c>
      <c r="N8" s="8" cm="1">
        <f t="array" ref="N8">SUMIFS(operations[[Amount]:[Amount]], operations[[Category]:[Category]],summary1[[#This Row],[Category]:[Category]],operations[[Month]:[Month]],summary1[[#Headers],[12]])</f>
        <v>-700</v>
      </c>
      <c r="O8" s="8">
        <f>SUM(summary1[[#This Row],[2]:[12]])</f>
        <v>-2099</v>
      </c>
    </row>
    <row r="9" spans="1:15" x14ac:dyDescent="0.25">
      <c r="A9" s="12" t="s">
        <v>23</v>
      </c>
      <c r="B9" s="13" t="s">
        <v>32</v>
      </c>
      <c r="C9" s="8" cm="1">
        <f t="array" ref="C9">SUMIFS(operations[[Amount]:[Amount]], operations[[Category]:[Category]],summary1[[#This Row],[Category]:[Category]],operations[[Month]:[Month]],summary1[[#Headers],[1]])</f>
        <v>-100</v>
      </c>
      <c r="D9" s="8" cm="1">
        <f t="array" ref="D9">SUMIFS(operations[[Amount]:[Amount]], operations[[Category]:[Category]],summary1[[#This Row],[Category]:[Category]],operations[[Month]:[Month]],summary1[[#Headers],[2]])</f>
        <v>-100</v>
      </c>
      <c r="E9" s="8" cm="1">
        <f t="array" ref="E9">SUMIFS(operations[[Amount]:[Amount]], operations[[Category]:[Category]],summary1[[#This Row],[Category]:[Category]],operations[[Month]:[Month]],summary1[[#Headers],[3]])</f>
        <v>-79.5</v>
      </c>
      <c r="F9" s="8" cm="1">
        <f t="array" ref="F9">SUMIFS(operations[[Amount]:[Amount]], operations[[Category]:[Category]],summary1[[#This Row],[Category]:[Category]],operations[[Month]:[Month]],summary1[[#Headers],[4]])</f>
        <v>-139</v>
      </c>
      <c r="G9" s="8" cm="1">
        <f t="array" ref="G9">SUMIFS(operations[[Amount]:[Amount]], operations[[Category]:[Category]],summary1[[#This Row],[Category]:[Category]],operations[[Month]:[Month]],summary1[[#Headers],[5]])</f>
        <v>0</v>
      </c>
      <c r="H9" s="8" cm="1">
        <f t="array" ref="H9">SUMIFS(operations[[Amount]:[Amount]], operations[[Category]:[Category]],summary1[[#This Row],[Category]:[Category]],operations[[Month]:[Month]],summary1[[#Headers],[6]])</f>
        <v>0</v>
      </c>
      <c r="I9" s="8" cm="1">
        <f t="array" ref="I9">SUMIFS(operations[[Amount]:[Amount]], operations[[Category]:[Category]],summary1[[#This Row],[Category]:[Category]],operations[[Month]:[Month]],summary1[[#Headers],[7]])</f>
        <v>0</v>
      </c>
      <c r="J9" s="8" cm="1">
        <f t="array" ref="J9">SUMIFS(operations[[Amount]:[Amount]], operations[[Category]:[Category]],summary1[[#This Row],[Category]:[Category]],operations[[Month]:[Month]],summary1[[#Headers],[8]])</f>
        <v>0</v>
      </c>
      <c r="K9" s="8" cm="1">
        <f t="array" ref="K9">SUMIFS(operations[[Amount]:[Amount]], operations[[Category]:[Category]],summary1[[#This Row],[Category]:[Category]],operations[[Month]:[Month]],summary1[[#Headers],[9]])</f>
        <v>0</v>
      </c>
      <c r="L9" s="8" cm="1">
        <f t="array" ref="L9">SUMIFS(operations[[Amount]:[Amount]], operations[[Category]:[Category]],summary1[[#This Row],[Category]:[Category]],operations[[Month]:[Month]],summary1[[#Headers],[10]])</f>
        <v>0</v>
      </c>
      <c r="M9" s="8" cm="1">
        <f t="array" ref="M9">SUMIFS(operations[[Amount]:[Amount]], operations[[Category]:[Category]],summary1[[#This Row],[Category]:[Category]],operations[[Month]:[Month]],summary1[[#Headers],[11]])</f>
        <v>0</v>
      </c>
      <c r="N9" s="8" cm="1">
        <f t="array" ref="N9">SUMIFS(operations[[Amount]:[Amount]], operations[[Category]:[Category]],summary1[[#This Row],[Category]:[Category]],operations[[Month]:[Month]],summary1[[#Headers],[12]])</f>
        <v>-100</v>
      </c>
      <c r="O9" s="8">
        <f>SUM(summary1[[#This Row],[2]:[12]])</f>
        <v>-418.5</v>
      </c>
    </row>
    <row r="10" spans="1:15" x14ac:dyDescent="0.25">
      <c r="A10" s="34" t="s">
        <v>21</v>
      </c>
      <c r="B10" s="35" t="s">
        <v>32</v>
      </c>
      <c r="C10" s="8" cm="1">
        <f t="array" ref="C10">SUMIFS(operations[[Amount]:[Amount]], operations[[Category]:[Category]],summary1[[#This Row],[Category]:[Category]],operations[[Month]:[Month]],summary1[[#Headers],[1]])</f>
        <v>-80</v>
      </c>
      <c r="D10" s="8" cm="1">
        <f t="array" ref="D10">SUMIFS(operations[[Amount]:[Amount]], operations[[Category]:[Category]],summary1[[#This Row],[Category]:[Category]],operations[[Month]:[Month]],summary1[[#Headers],[2]])</f>
        <v>-80</v>
      </c>
      <c r="E10" s="8" cm="1">
        <f t="array" ref="E10">SUMIFS(operations[[Amount]:[Amount]], operations[[Category]:[Category]],summary1[[#This Row],[Category]:[Category]],operations[[Month]:[Month]],summary1[[#Headers],[3]])</f>
        <v>-82.5</v>
      </c>
      <c r="F10" s="8" cm="1">
        <f t="array" ref="F10">SUMIFS(operations[[Amount]:[Amount]], operations[[Category]:[Category]],summary1[[#This Row],[Category]:[Category]],operations[[Month]:[Month]],summary1[[#Headers],[4]])</f>
        <v>-82.5</v>
      </c>
      <c r="G10" s="8" cm="1">
        <f t="array" ref="G10">SUMIFS(operations[[Amount]:[Amount]], operations[[Category]:[Category]],summary1[[#This Row],[Category]:[Category]],operations[[Month]:[Month]],summary1[[#Headers],[5]])</f>
        <v>-80</v>
      </c>
      <c r="H10" s="8" cm="1">
        <f t="array" ref="H10">SUMIFS(operations[[Amount]:[Amount]], operations[[Category]:[Category]],summary1[[#This Row],[Category]:[Category]],operations[[Month]:[Month]],summary1[[#Headers],[6]])</f>
        <v>-80</v>
      </c>
      <c r="I10" s="8" cm="1">
        <f t="array" ref="I10">SUMIFS(operations[[Amount]:[Amount]], operations[[Category]:[Category]],summary1[[#This Row],[Category]:[Category]],operations[[Month]:[Month]],summary1[[#Headers],[7]])</f>
        <v>-90</v>
      </c>
      <c r="J10" s="8" cm="1">
        <f t="array" ref="J10">SUMIFS(operations[[Amount]:[Amount]], operations[[Category]:[Category]],summary1[[#This Row],[Category]:[Category]],operations[[Month]:[Month]],summary1[[#Headers],[8]])</f>
        <v>-290</v>
      </c>
      <c r="K10" s="8" cm="1">
        <f t="array" ref="K10">SUMIFS(operations[[Amount]:[Amount]], operations[[Category]:[Category]],summary1[[#This Row],[Category]:[Category]],operations[[Month]:[Month]],summary1[[#Headers],[9]])</f>
        <v>-150</v>
      </c>
      <c r="L10" s="8" cm="1">
        <f t="array" ref="L10">SUMIFS(operations[[Amount]:[Amount]], operations[[Category]:[Category]],summary1[[#This Row],[Category]:[Category]],operations[[Month]:[Month]],summary1[[#Headers],[10]])</f>
        <v>-150</v>
      </c>
      <c r="M10" s="8" cm="1">
        <f t="array" ref="M10">SUMIFS(operations[[Amount]:[Amount]], operations[[Category]:[Category]],summary1[[#This Row],[Category]:[Category]],operations[[Month]:[Month]],summary1[[#Headers],[11]])</f>
        <v>-208</v>
      </c>
      <c r="N10" s="8" cm="1">
        <f t="array" ref="N10">SUMIFS(operations[[Amount]:[Amount]], operations[[Category]:[Category]],summary1[[#This Row],[Category]:[Category]],operations[[Month]:[Month]],summary1[[#Headers],[12]])</f>
        <v>0</v>
      </c>
      <c r="O10" s="8">
        <f>SUM(summary1[[#This Row],[2]:[12]])</f>
        <v>-1293</v>
      </c>
    </row>
    <row r="11" spans="1:15" x14ac:dyDescent="0.25">
      <c r="A11" s="12" t="s">
        <v>19</v>
      </c>
      <c r="B11" s="13" t="s">
        <v>33</v>
      </c>
      <c r="C11" s="8" cm="1">
        <f t="array" ref="C11">SUMIFS(operations[[Amount]:[Amount]], operations[[Category]:[Category]],summary1[[#This Row],[Category]:[Category]],operations[[Month]:[Month]],summary1[[#Headers],[1]])</f>
        <v>250</v>
      </c>
      <c r="D11" s="8" cm="1">
        <f t="array" ref="D11">SUMIFS(operations[[Amount]:[Amount]], operations[[Category]:[Category]],summary1[[#This Row],[Category]:[Category]],operations[[Month]:[Month]],summary1[[#Headers],[2]])</f>
        <v>0</v>
      </c>
      <c r="E11" s="8" cm="1">
        <f t="array" ref="E11">SUMIFS(operations[[Amount]:[Amount]], operations[[Category]:[Category]],summary1[[#This Row],[Category]:[Category]],operations[[Month]:[Month]],summary1[[#Headers],[3]])</f>
        <v>0</v>
      </c>
      <c r="F11" s="8" cm="1">
        <f t="array" ref="F11">SUMIFS(operations[[Amount]:[Amount]], operations[[Category]:[Category]],summary1[[#This Row],[Category]:[Category]],operations[[Month]:[Month]],summary1[[#Headers],[4]])</f>
        <v>0</v>
      </c>
      <c r="G11" s="8" cm="1">
        <f t="array" ref="G11">SUMIFS(operations[[Amount]:[Amount]], operations[[Category]:[Category]],summary1[[#This Row],[Category]:[Category]],operations[[Month]:[Month]],summary1[[#Headers],[5]])</f>
        <v>0</v>
      </c>
      <c r="H11" s="8" cm="1">
        <f t="array" ref="H11">SUMIFS(operations[[Amount]:[Amount]], operations[[Category]:[Category]],summary1[[#This Row],[Category]:[Category]],operations[[Month]:[Month]],summary1[[#Headers],[6]])</f>
        <v>400</v>
      </c>
      <c r="I11" s="8" cm="1">
        <f t="array" ref="I11">SUMIFS(operations[[Amount]:[Amount]], operations[[Category]:[Category]],summary1[[#This Row],[Category]:[Category]],operations[[Month]:[Month]],summary1[[#Headers],[7]])</f>
        <v>0</v>
      </c>
      <c r="J11" s="8" cm="1">
        <f t="array" ref="J11">SUMIFS(operations[[Amount]:[Amount]], operations[[Category]:[Category]],summary1[[#This Row],[Category]:[Category]],operations[[Month]:[Month]],summary1[[#Headers],[8]])</f>
        <v>0</v>
      </c>
      <c r="K11" s="8" cm="1">
        <f t="array" ref="K11">SUMIFS(operations[[Amount]:[Amount]], operations[[Category]:[Category]],summary1[[#This Row],[Category]:[Category]],operations[[Month]:[Month]],summary1[[#Headers],[9]])</f>
        <v>0</v>
      </c>
      <c r="L11" s="8" cm="1">
        <f t="array" ref="L11">SUMIFS(operations[[Amount]:[Amount]], operations[[Category]:[Category]],summary1[[#This Row],[Category]:[Category]],operations[[Month]:[Month]],summary1[[#Headers],[10]])</f>
        <v>0</v>
      </c>
      <c r="M11" s="8" cm="1">
        <f t="array" ref="M11">SUMIFS(operations[[Amount]:[Amount]], operations[[Category]:[Category]],summary1[[#This Row],[Category]:[Category]],operations[[Month]:[Month]],summary1[[#Headers],[11]])</f>
        <v>0</v>
      </c>
      <c r="N11" s="8" cm="1">
        <f t="array" ref="N11">SUMIFS(operations[[Amount]:[Amount]], operations[[Category]:[Category]],summary1[[#This Row],[Category]:[Category]],operations[[Month]:[Month]],summary1[[#Headers],[12]])</f>
        <v>0</v>
      </c>
      <c r="O11" s="8">
        <f>SUM(summary1[[#This Row],[2]:[12]])</f>
        <v>400</v>
      </c>
    </row>
    <row r="12" spans="1:15" x14ac:dyDescent="0.25">
      <c r="A12" s="34" t="s">
        <v>27</v>
      </c>
      <c r="B12" s="35" t="s">
        <v>33</v>
      </c>
      <c r="C12" s="8" cm="1">
        <f t="array" ref="C12">SUMIFS(operations[[Amount]:[Amount]], operations[[Category]:[Category]],summary1[[#This Row],[Category]:[Category]],operations[[Month]:[Month]],summary1[[#Headers],[1]])</f>
        <v>105.5</v>
      </c>
      <c r="D12" s="8" cm="1">
        <f t="array" ref="D12">SUMIFS(operations[[Amount]:[Amount]], operations[[Category]:[Category]],summary1[[#This Row],[Category]:[Category]],operations[[Month]:[Month]],summary1[[#Headers],[2]])</f>
        <v>115</v>
      </c>
      <c r="E12" s="8" cm="1">
        <f t="array" ref="E12">SUMIFS(operations[[Amount]:[Amount]], operations[[Category]:[Category]],summary1[[#This Row],[Category]:[Category]],operations[[Month]:[Month]],summary1[[#Headers],[3]])</f>
        <v>150</v>
      </c>
      <c r="F12" s="8" cm="1">
        <f t="array" ref="F12">SUMIFS(operations[[Amount]:[Amount]], operations[[Category]:[Category]],summary1[[#This Row],[Category]:[Category]],operations[[Month]:[Month]],summary1[[#Headers],[4]])</f>
        <v>150</v>
      </c>
      <c r="G12" s="8" cm="1">
        <f t="array" ref="G12">SUMIFS(operations[[Amount]:[Amount]], operations[[Category]:[Category]],summary1[[#This Row],[Category]:[Category]],operations[[Month]:[Month]],summary1[[#Headers],[5]])</f>
        <v>0</v>
      </c>
      <c r="H12" s="8" cm="1">
        <f t="array" ref="H12">SUMIFS(operations[[Amount]:[Amount]], operations[[Category]:[Category]],summary1[[#This Row],[Category]:[Category]],operations[[Month]:[Month]],summary1[[#Headers],[6]])</f>
        <v>0</v>
      </c>
      <c r="I12" s="8" cm="1">
        <f t="array" ref="I12">SUMIFS(operations[[Amount]:[Amount]], operations[[Category]:[Category]],summary1[[#This Row],[Category]:[Category]],operations[[Month]:[Month]],summary1[[#Headers],[7]])</f>
        <v>120</v>
      </c>
      <c r="J12" s="8" cm="1">
        <f t="array" ref="J12">SUMIFS(operations[[Amount]:[Amount]], operations[[Category]:[Category]],summary1[[#This Row],[Category]:[Category]],operations[[Month]:[Month]],summary1[[#Headers],[8]])</f>
        <v>0</v>
      </c>
      <c r="K12" s="8" cm="1">
        <f t="array" ref="K12">SUMIFS(operations[[Amount]:[Amount]], operations[[Category]:[Category]],summary1[[#This Row],[Category]:[Category]],operations[[Month]:[Month]],summary1[[#Headers],[9]])</f>
        <v>0</v>
      </c>
      <c r="L12" s="8" cm="1">
        <f t="array" ref="L12">SUMIFS(operations[[Amount]:[Amount]], operations[[Category]:[Category]],summary1[[#This Row],[Category]:[Category]],operations[[Month]:[Month]],summary1[[#Headers],[10]])</f>
        <v>0</v>
      </c>
      <c r="M12" s="8" cm="1">
        <f t="array" ref="M12">SUMIFS(operations[[Amount]:[Amount]], operations[[Category]:[Category]],summary1[[#This Row],[Category]:[Category]],operations[[Month]:[Month]],summary1[[#Headers],[11]])</f>
        <v>0</v>
      </c>
      <c r="N12" s="8" cm="1">
        <f t="array" ref="N12">SUMIFS(operations[[Amount]:[Amount]], operations[[Category]:[Category]],summary1[[#This Row],[Category]:[Category]],operations[[Month]:[Month]],summary1[[#Headers],[12]])</f>
        <v>0</v>
      </c>
      <c r="O12" s="8">
        <f>SUM(summary1[[#This Row],[2]:[12]])</f>
        <v>535</v>
      </c>
    </row>
    <row r="13" spans="1:15" x14ac:dyDescent="0.25">
      <c r="A13" s="12" t="s">
        <v>30</v>
      </c>
      <c r="B13" s="13" t="s">
        <v>33</v>
      </c>
      <c r="C13" s="8" cm="1">
        <f t="array" ref="C13">SUMIFS(operations[[Amount]:[Amount]], operations[[Category]:[Category]],summary1[[#This Row],[Category]:[Category]],operations[[Month]:[Month]],summary1[[#Headers],[1]])</f>
        <v>0</v>
      </c>
      <c r="D13" s="8" cm="1">
        <f t="array" ref="D13">SUMIFS(operations[[Amount]:[Amount]], operations[[Category]:[Category]],summary1[[#This Row],[Category]:[Category]],operations[[Month]:[Month]],summary1[[#Headers],[2]])</f>
        <v>0</v>
      </c>
      <c r="E13" s="8" cm="1">
        <f t="array" ref="E13">SUMIFS(operations[[Amount]:[Amount]], operations[[Category]:[Category]],summary1[[#This Row],[Category]:[Category]],operations[[Month]:[Month]],summary1[[#Headers],[3]])</f>
        <v>5</v>
      </c>
      <c r="F13" s="8" cm="1">
        <f t="array" ref="F13">SUMIFS(operations[[Amount]:[Amount]], operations[[Category]:[Category]],summary1[[#This Row],[Category]:[Category]],operations[[Month]:[Month]],summary1[[#Headers],[4]])</f>
        <v>50</v>
      </c>
      <c r="G13" s="8" cm="1">
        <f t="array" ref="G13">SUMIFS(operations[[Amount]:[Amount]], operations[[Category]:[Category]],summary1[[#This Row],[Category]:[Category]],operations[[Month]:[Month]],summary1[[#Headers],[5]])</f>
        <v>0</v>
      </c>
      <c r="H13" s="8" cm="1">
        <f t="array" ref="H13">SUMIFS(operations[[Amount]:[Amount]], operations[[Category]:[Category]],summary1[[#This Row],[Category]:[Category]],operations[[Month]:[Month]],summary1[[#Headers],[6]])</f>
        <v>0</v>
      </c>
      <c r="I13" s="8" cm="1">
        <f t="array" ref="I13">SUMIFS(operations[[Amount]:[Amount]], operations[[Category]:[Category]],summary1[[#This Row],[Category]:[Category]],operations[[Month]:[Month]],summary1[[#Headers],[7]])</f>
        <v>800</v>
      </c>
      <c r="J13" s="8" cm="1">
        <f t="array" ref="J13">SUMIFS(operations[[Amount]:[Amount]], operations[[Category]:[Category]],summary1[[#This Row],[Category]:[Category]],operations[[Month]:[Month]],summary1[[#Headers],[8]])</f>
        <v>400</v>
      </c>
      <c r="K13" s="8" cm="1">
        <f t="array" ref="K13">SUMIFS(operations[[Amount]:[Amount]], operations[[Category]:[Category]],summary1[[#This Row],[Category]:[Category]],operations[[Month]:[Month]],summary1[[#Headers],[9]])</f>
        <v>0</v>
      </c>
      <c r="L13" s="8" cm="1">
        <f t="array" ref="L13">SUMIFS(operations[[Amount]:[Amount]], operations[[Category]:[Category]],summary1[[#This Row],[Category]:[Category]],operations[[Month]:[Month]],summary1[[#Headers],[10]])</f>
        <v>0</v>
      </c>
      <c r="M13" s="8" cm="1">
        <f t="array" ref="M13">SUMIFS(operations[[Amount]:[Amount]], operations[[Category]:[Category]],summary1[[#This Row],[Category]:[Category]],operations[[Month]:[Month]],summary1[[#Headers],[11]])</f>
        <v>400</v>
      </c>
      <c r="N13" s="8" cm="1">
        <f t="array" ref="N13">SUMIFS(operations[[Amount]:[Amount]], operations[[Category]:[Category]],summary1[[#This Row],[Category]:[Category]],operations[[Month]:[Month]],summary1[[#Headers],[12]])</f>
        <v>2000</v>
      </c>
      <c r="O13" s="8">
        <f>SUM(summary1[[#This Row],[2]:[12]])</f>
        <v>3655</v>
      </c>
    </row>
    <row r="14" spans="1:15" x14ac:dyDescent="0.25">
      <c r="A14" s="34" t="s">
        <v>15</v>
      </c>
      <c r="B14" s="35" t="s">
        <v>33</v>
      </c>
      <c r="C14" s="8" cm="1">
        <f t="array" ref="C14">SUMIFS(operations[[Amount]:[Amount]], operations[[Category]:[Category]],summary1[[#This Row],[Category]:[Category]],operations[[Month]:[Month]],summary1[[#Headers],[1]])</f>
        <v>800</v>
      </c>
      <c r="D14" s="8" cm="1">
        <f t="array" ref="D14">SUMIFS(operations[[Amount]:[Amount]], operations[[Category]:[Category]],summary1[[#This Row],[Category]:[Category]],operations[[Month]:[Month]],summary1[[#Headers],[2]])</f>
        <v>1950</v>
      </c>
      <c r="E14" s="8" cm="1">
        <f t="array" ref="E14">SUMIFS(operations[[Amount]:[Amount]], operations[[Category]:[Category]],summary1[[#This Row],[Category]:[Category]],operations[[Month]:[Month]],summary1[[#Headers],[3]])</f>
        <v>0</v>
      </c>
      <c r="F14" s="8" cm="1">
        <f t="array" ref="F14">SUMIFS(operations[[Amount]:[Amount]], operations[[Category]:[Category]],summary1[[#This Row],[Category]:[Category]],operations[[Month]:[Month]],summary1[[#Headers],[4]])</f>
        <v>0</v>
      </c>
      <c r="G14" s="8" cm="1">
        <f t="array" ref="G14">SUMIFS(operations[[Amount]:[Amount]], operations[[Category]:[Category]],summary1[[#This Row],[Category]:[Category]],operations[[Month]:[Month]],summary1[[#Headers],[5]])</f>
        <v>0</v>
      </c>
      <c r="H14" s="8" cm="1">
        <f t="array" ref="H14">SUMIFS(operations[[Amount]:[Amount]], operations[[Category]:[Category]],summary1[[#This Row],[Category]:[Category]],operations[[Month]:[Month]],summary1[[#Headers],[6]])</f>
        <v>0</v>
      </c>
      <c r="I14" s="8" cm="1">
        <f t="array" ref="I14">SUMIFS(operations[[Amount]:[Amount]], operations[[Category]:[Category]],summary1[[#This Row],[Category]:[Category]],operations[[Month]:[Month]],summary1[[#Headers],[7]])</f>
        <v>0</v>
      </c>
      <c r="J14" s="8" cm="1">
        <f t="array" ref="J14">SUMIFS(operations[[Amount]:[Amount]], operations[[Category]:[Category]],summary1[[#This Row],[Category]:[Category]],operations[[Month]:[Month]],summary1[[#Headers],[8]])</f>
        <v>0</v>
      </c>
      <c r="K14" s="8" cm="1">
        <f t="array" ref="K14">SUMIFS(operations[[Amount]:[Amount]], operations[[Category]:[Category]],summary1[[#This Row],[Category]:[Category]],operations[[Month]:[Month]],summary1[[#Headers],[9]])</f>
        <v>0</v>
      </c>
      <c r="L14" s="8" cm="1">
        <f t="array" ref="L14">SUMIFS(operations[[Amount]:[Amount]], operations[[Category]:[Category]],summary1[[#This Row],[Category]:[Category]],operations[[Month]:[Month]],summary1[[#Headers],[10]])</f>
        <v>0</v>
      </c>
      <c r="M14" s="8" cm="1">
        <f t="array" ref="M14">SUMIFS(operations[[Amount]:[Amount]], operations[[Category]:[Category]],summary1[[#This Row],[Category]:[Category]],operations[[Month]:[Month]],summary1[[#Headers],[11]])</f>
        <v>0</v>
      </c>
      <c r="N14" s="8" cm="1">
        <f t="array" ref="N14">SUMIFS(operations[[Amount]:[Amount]], operations[[Category]:[Category]],summary1[[#This Row],[Category]:[Category]],operations[[Month]:[Month]],summary1[[#Headers],[12]])</f>
        <v>0</v>
      </c>
      <c r="O14" s="8">
        <f>SUM(summary1[[#This Row],[2]:[12]])</f>
        <v>1950</v>
      </c>
    </row>
    <row r="15" spans="1:15" x14ac:dyDescent="0.25">
      <c r="A15" s="12" t="s">
        <v>10</v>
      </c>
      <c r="B15" s="13" t="s">
        <v>33</v>
      </c>
      <c r="C15" s="8" cm="1">
        <f t="array" ref="C15">SUMIFS(operations[[Amount]:[Amount]], operations[[Category]:[Category]],summary1[[#This Row],[Category]:[Category]],operations[[Month]:[Month]],summary1[[#Headers],[1]])</f>
        <v>4500</v>
      </c>
      <c r="D15" s="8" cm="1">
        <f t="array" ref="D15">SUMIFS(operations[[Amount]:[Amount]], operations[[Category]:[Category]],summary1[[#This Row],[Category]:[Category]],operations[[Month]:[Month]],summary1[[#Headers],[2]])</f>
        <v>4500</v>
      </c>
      <c r="E15" s="8" cm="1">
        <f t="array" ref="E15">SUMIFS(operations[[Amount]:[Amount]], operations[[Category]:[Category]],summary1[[#This Row],[Category]:[Category]],operations[[Month]:[Month]],summary1[[#Headers],[3]])</f>
        <v>4500</v>
      </c>
      <c r="F15" s="8" cm="1">
        <f t="array" ref="F15">SUMIFS(operations[[Amount]:[Amount]], operations[[Category]:[Category]],summary1[[#This Row],[Category]:[Category]],operations[[Month]:[Month]],summary1[[#Headers],[4]])</f>
        <v>4500</v>
      </c>
      <c r="G15" s="8" cm="1">
        <f t="array" ref="G15">SUMIFS(operations[[Amount]:[Amount]], operations[[Category]:[Category]],summary1[[#This Row],[Category]:[Category]],operations[[Month]:[Month]],summary1[[#Headers],[5]])</f>
        <v>4500</v>
      </c>
      <c r="H15" s="8" cm="1">
        <f t="array" ref="H15">SUMIFS(operations[[Amount]:[Amount]], operations[[Category]:[Category]],summary1[[#This Row],[Category]:[Category]],operations[[Month]:[Month]],summary1[[#Headers],[6]])</f>
        <v>4500</v>
      </c>
      <c r="I15" s="8" cm="1">
        <f t="array" ref="I15">SUMIFS(operations[[Amount]:[Amount]], operations[[Category]:[Category]],summary1[[#This Row],[Category]:[Category]],operations[[Month]:[Month]],summary1[[#Headers],[7]])</f>
        <v>4500</v>
      </c>
      <c r="J15" s="8" cm="1">
        <f t="array" ref="J15">SUMIFS(operations[[Amount]:[Amount]], operations[[Category]:[Category]],summary1[[#This Row],[Category]:[Category]],operations[[Month]:[Month]],summary1[[#Headers],[8]])</f>
        <v>4500</v>
      </c>
      <c r="K15" s="8" cm="1">
        <f t="array" ref="K15">SUMIFS(operations[[Amount]:[Amount]], operations[[Category]:[Category]],summary1[[#This Row],[Category]:[Category]],operations[[Month]:[Month]],summary1[[#Headers],[9]])</f>
        <v>4500</v>
      </c>
      <c r="L15" s="8" cm="1">
        <f t="array" ref="L15">SUMIFS(operations[[Amount]:[Amount]], operations[[Category]:[Category]],summary1[[#This Row],[Category]:[Category]],operations[[Month]:[Month]],summary1[[#Headers],[10]])</f>
        <v>4500</v>
      </c>
      <c r="M15" s="8" cm="1">
        <f t="array" ref="M15">SUMIFS(operations[[Amount]:[Amount]], operations[[Category]:[Category]],summary1[[#This Row],[Category]:[Category]],operations[[Month]:[Month]],summary1[[#Headers],[11]])</f>
        <v>4500</v>
      </c>
      <c r="N15" s="8" cm="1">
        <f t="array" ref="N15">SUMIFS(operations[[Amount]:[Amount]], operations[[Category]:[Category]],summary1[[#This Row],[Category]:[Category]],operations[[Month]:[Month]],summary1[[#Headers],[12]])</f>
        <v>4500</v>
      </c>
      <c r="O15" s="8">
        <f>SUM(summary1[[#This Row],[2]:[12]])</f>
        <v>49500</v>
      </c>
    </row>
    <row r="16" spans="1:15" x14ac:dyDescent="0.25">
      <c r="A16" s="34" t="s">
        <v>31</v>
      </c>
      <c r="B16" s="35" t="s">
        <v>33</v>
      </c>
      <c r="C16" s="8" cm="1">
        <f t="array" ref="C16">SUMIFS(operations[[Amount]:[Amount]], operations[[Category]:[Category]],summary1[[#This Row],[Category]:[Category]],operations[[Month]:[Month]],summary1[[#Headers],[1]])</f>
        <v>0</v>
      </c>
      <c r="D16" s="8" cm="1">
        <f t="array" ref="D16">SUMIFS(operations[[Amount]:[Amount]], operations[[Category]:[Category]],summary1[[#This Row],[Category]:[Category]],operations[[Month]:[Month]],summary1[[#Headers],[2]])</f>
        <v>0</v>
      </c>
      <c r="E16" s="8" cm="1">
        <f t="array" ref="E16">SUMIFS(operations[[Amount]:[Amount]], operations[[Category]:[Category]],summary1[[#This Row],[Category]:[Category]],operations[[Month]:[Month]],summary1[[#Headers],[3]])</f>
        <v>0</v>
      </c>
      <c r="F16" s="8" cm="1">
        <f t="array" ref="F16">SUMIFS(operations[[Amount]:[Amount]], operations[[Category]:[Category]],summary1[[#This Row],[Category]:[Category]],operations[[Month]:[Month]],summary1[[#Headers],[4]])</f>
        <v>0</v>
      </c>
      <c r="G16" s="8" cm="1">
        <f t="array" ref="G16">SUMIFS(operations[[Amount]:[Amount]], operations[[Category]:[Category]],summary1[[#This Row],[Category]:[Category]],operations[[Month]:[Month]],summary1[[#Headers],[5]])</f>
        <v>0</v>
      </c>
      <c r="H16" s="8" cm="1">
        <f t="array" ref="H16">SUMIFS(operations[[Amount]:[Amount]], operations[[Category]:[Category]],summary1[[#This Row],[Category]:[Category]],operations[[Month]:[Month]],summary1[[#Headers],[6]])</f>
        <v>0</v>
      </c>
      <c r="I16" s="8" cm="1">
        <f t="array" ref="I16">SUMIFS(operations[[Amount]:[Amount]], operations[[Category]:[Category]],summary1[[#This Row],[Category]:[Category]],operations[[Month]:[Month]],summary1[[#Headers],[7]])</f>
        <v>500</v>
      </c>
      <c r="J16" s="8" cm="1">
        <f t="array" ref="J16">SUMIFS(operations[[Amount]:[Amount]], operations[[Category]:[Category]],summary1[[#This Row],[Category]:[Category]],operations[[Month]:[Month]],summary1[[#Headers],[8]])</f>
        <v>500</v>
      </c>
      <c r="K16" s="8" cm="1">
        <f t="array" ref="K16">SUMIFS(operations[[Amount]:[Amount]], operations[[Category]:[Category]],summary1[[#This Row],[Category]:[Category]],operations[[Month]:[Month]],summary1[[#Headers],[9]])</f>
        <v>0</v>
      </c>
      <c r="L16" s="8" cm="1">
        <f t="array" ref="L16">SUMIFS(operations[[Amount]:[Amount]], operations[[Category]:[Category]],summary1[[#This Row],[Category]:[Category]],operations[[Month]:[Month]],summary1[[#Headers],[10]])</f>
        <v>0</v>
      </c>
      <c r="M16" s="8" cm="1">
        <f t="array" ref="M16">SUMIFS(operations[[Amount]:[Amount]], operations[[Category]:[Category]],summary1[[#This Row],[Category]:[Category]],operations[[Month]:[Month]],summary1[[#Headers],[11]])</f>
        <v>0</v>
      </c>
      <c r="N16" s="8" cm="1">
        <f t="array" ref="N16">SUMIFS(operations[[Amount]:[Amount]], operations[[Category]:[Category]],summary1[[#This Row],[Category]:[Category]],operations[[Month]:[Month]],summary1[[#Headers],[12]])</f>
        <v>0</v>
      </c>
      <c r="O16" s="8">
        <f>SUM(summary1[[#This Row],[2]:[12]])</f>
        <v>1000</v>
      </c>
    </row>
    <row r="17" spans="1:15" x14ac:dyDescent="0.25">
      <c r="A17" t="s">
        <v>21</v>
      </c>
      <c r="C17" s="8" cm="1">
        <f t="array" ref="C17">SUMIFS(operations[[Amount]:[Amount]], operations[[Category]:[Category]],summary1[[#This Row],[Category]:[Category]],operations[[Month]:[Month]],summary1[[#Headers],[1]])</f>
        <v>-80</v>
      </c>
      <c r="D17" s="8" cm="1">
        <f t="array" ref="D17">SUMIFS(operations[[Amount]:[Amount]], operations[[Category]:[Category]],summary1[[#This Row],[Category]:[Category]],operations[[Month]:[Month]],summary1[[#Headers],[2]])</f>
        <v>-80</v>
      </c>
      <c r="E17" s="8" cm="1">
        <f t="array" ref="E17">SUMIFS(operations[[Amount]:[Amount]], operations[[Category]:[Category]],summary1[[#This Row],[Category]:[Category]],operations[[Month]:[Month]],summary1[[#Headers],[3]])</f>
        <v>-82.5</v>
      </c>
      <c r="F17" s="8" cm="1">
        <f t="array" ref="F17">SUMIFS(operations[[Amount]:[Amount]], operations[[Category]:[Category]],summary1[[#This Row],[Category]:[Category]],operations[[Month]:[Month]],summary1[[#Headers],[4]])</f>
        <v>-82.5</v>
      </c>
      <c r="G17" s="8" cm="1">
        <f t="array" ref="G17">SUMIFS(operations[[Amount]:[Amount]], operations[[Category]:[Category]],summary1[[#This Row],[Category]:[Category]],operations[[Month]:[Month]],summary1[[#Headers],[5]])</f>
        <v>-80</v>
      </c>
      <c r="H17" s="8" cm="1">
        <f t="array" ref="H17">SUMIFS(operations[[Amount]:[Amount]], operations[[Category]:[Category]],summary1[[#This Row],[Category]:[Category]],operations[[Month]:[Month]],summary1[[#Headers],[6]])</f>
        <v>-80</v>
      </c>
      <c r="I17" s="8" cm="1">
        <f t="array" ref="I17">SUMIFS(operations[[Amount]:[Amount]], operations[[Category]:[Category]],summary1[[#This Row],[Category]:[Category]],operations[[Month]:[Month]],summary1[[#Headers],[7]])</f>
        <v>-90</v>
      </c>
      <c r="J17" s="8" cm="1">
        <f t="array" ref="J17">SUMIFS(operations[[Amount]:[Amount]], operations[[Category]:[Category]],summary1[[#This Row],[Category]:[Category]],operations[[Month]:[Month]],summary1[[#Headers],[8]])</f>
        <v>-290</v>
      </c>
      <c r="K17" s="8" cm="1">
        <f t="array" ref="K17">SUMIFS(operations[[Amount]:[Amount]], operations[[Category]:[Category]],summary1[[#This Row],[Category]:[Category]],operations[[Month]:[Month]],summary1[[#Headers],[9]])</f>
        <v>-150</v>
      </c>
      <c r="L17" s="8" cm="1">
        <f t="array" ref="L17">SUMIFS(operations[[Amount]:[Amount]], operations[[Category]:[Category]],summary1[[#This Row],[Category]:[Category]],operations[[Month]:[Month]],summary1[[#Headers],[10]])</f>
        <v>-150</v>
      </c>
      <c r="M17" s="8" cm="1">
        <f t="array" ref="M17">SUMIFS(operations[[Amount]:[Amount]], operations[[Category]:[Category]],summary1[[#This Row],[Category]:[Category]],operations[[Month]:[Month]],summary1[[#Headers],[11]])</f>
        <v>-208</v>
      </c>
      <c r="N17" s="8" cm="1">
        <f t="array" ref="N17">SUMIFS(operations[[Amount]:[Amount]], operations[[Category]:[Category]],summary1[[#This Row],[Category]:[Category]],operations[[Month]:[Month]],summary1[[#Headers],[12]])</f>
        <v>0</v>
      </c>
      <c r="O17" s="8">
        <f>SUM(summary1[[#This Row],[2]:[12]])</f>
        <v>-1293</v>
      </c>
    </row>
    <row r="18" spans="1:15" x14ac:dyDescent="0.25">
      <c r="A18" t="s">
        <v>40</v>
      </c>
      <c r="C18" s="8">
        <f>SUBTOTAL(109,summary1[1])</f>
        <v>765.5</v>
      </c>
      <c r="D18" s="8">
        <f>SUBTOTAL(109,summary1[2])</f>
        <v>2384.5</v>
      </c>
      <c r="E18" s="8">
        <f>SUBTOTAL(109,summary1[3])</f>
        <v>673.10999999999967</v>
      </c>
      <c r="F18" s="8">
        <f>SUBTOTAL(109,summary1[4])</f>
        <v>644.34000000000015</v>
      </c>
      <c r="G18" s="8">
        <f>SUBTOTAL(109,summary1[5])</f>
        <v>1210</v>
      </c>
      <c r="H18" s="8">
        <f>SUBTOTAL(109,summary1[6])</f>
        <v>1090</v>
      </c>
      <c r="I18" s="8">
        <f>SUBTOTAL(109,summary1[7])</f>
        <v>2825</v>
      </c>
      <c r="J18" s="8">
        <f>SUBTOTAL(109,summary1[8])</f>
        <v>1120.5</v>
      </c>
      <c r="K18" s="8">
        <f>SUBTOTAL(109,summary1[9])</f>
        <v>1601.5</v>
      </c>
      <c r="L18" s="8">
        <f>SUBTOTAL(109,summary1[10])</f>
        <v>1520</v>
      </c>
      <c r="M18" s="8">
        <f>SUBTOTAL(109,summary1[11])</f>
        <v>1192</v>
      </c>
      <c r="N18" s="8">
        <f>SUBTOTAL(109,summary1[12])</f>
        <v>2420</v>
      </c>
      <c r="O18" s="8">
        <f>SUBTOTAL(109,summary1[Total])</f>
        <v>16680.949999999997</v>
      </c>
    </row>
    <row r="19" spans="1:15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</sheetData>
  <dataValidations count="1">
    <dataValidation type="list" allowBlank="1" showInputMessage="1" showErrorMessage="1" sqref="B2:B16" xr:uid="{A4A0DD3A-C2E9-4AB8-8442-34734579FA7F}">
      <formula1>"Income, expense, transfer"</formula1>
    </dataValidation>
  </dataValidation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2040-4BAB-49AB-965A-6671FCF34A8A}">
  <dimension ref="A1:O21"/>
  <sheetViews>
    <sheetView workbookViewId="0">
      <selection activeCell="E27" sqref="E27"/>
    </sheetView>
  </sheetViews>
  <sheetFormatPr defaultRowHeight="15" outlineLevelRow="2" x14ac:dyDescent="0.25"/>
  <cols>
    <col min="1" max="1" width="17.28515625" customWidth="1"/>
    <col min="2" max="2" width="13.5703125" customWidth="1"/>
    <col min="3" max="14" width="11.28515625" bestFit="1" customWidth="1"/>
    <col min="15" max="15" width="13.42578125" customWidth="1"/>
  </cols>
  <sheetData>
    <row r="1" spans="1:15" x14ac:dyDescent="0.25">
      <c r="A1" s="15" t="s">
        <v>3</v>
      </c>
      <c r="B1" s="15" t="s">
        <v>4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38</v>
      </c>
    </row>
    <row r="2" spans="1:15" outlineLevel="2" x14ac:dyDescent="0.25">
      <c r="A2" s="17" t="s">
        <v>11</v>
      </c>
      <c r="B2" s="16" t="s">
        <v>32</v>
      </c>
      <c r="C2" s="8">
        <f>SUMIFS(operations[[Amount]:[Amount]], operations[[Category]:[Category]],$A2,operations[[Month]:[Month]],C$1)</f>
        <v>-2000</v>
      </c>
      <c r="D2" s="8">
        <f>SUMIFS(operations[[Amount]:[Amount]], operations[[Category]:[Category]],$A2,operations[[Month]:[Month]],D$1)</f>
        <v>-2000</v>
      </c>
      <c r="E2" s="8">
        <f>SUMIFS(operations[[Amount]:[Amount]], operations[[Category]:[Category]],$A2,operations[[Month]:[Month]],E$1)</f>
        <v>-2000</v>
      </c>
      <c r="F2" s="8">
        <f>SUMIFS(operations[[Amount]:[Amount]], operations[[Category]:[Category]],$A2,operations[[Month]:[Month]],F$1)</f>
        <v>-2000</v>
      </c>
      <c r="G2" s="8">
        <f>SUMIFS(operations[[Amount]:[Amount]], operations[[Category]:[Category]],$A2,operations[[Month]:[Month]],G$1)</f>
        <v>-2000</v>
      </c>
      <c r="H2" s="8">
        <f>SUMIFS(operations[[Amount]:[Amount]], operations[[Category]:[Category]],$A2,operations[[Month]:[Month]],H$1)</f>
        <v>-2000</v>
      </c>
      <c r="I2" s="8">
        <f>SUMIFS(operations[[Amount]:[Amount]], operations[[Category]:[Category]],$A2,operations[[Month]:[Month]],I$1)</f>
        <v>-2000</v>
      </c>
      <c r="J2" s="8">
        <f>SUMIFS(operations[[Amount]:[Amount]], operations[[Category]:[Category]],$A2,operations[[Month]:[Month]],J$1)</f>
        <v>-2000</v>
      </c>
      <c r="K2" s="8">
        <f>SUMIFS(operations[[Amount]:[Amount]], operations[[Category]:[Category]],$A2,operations[[Month]:[Month]],K$1)</f>
        <v>-2000</v>
      </c>
      <c r="L2" s="8">
        <f>SUMIFS(operations[[Amount]:[Amount]], operations[[Category]:[Category]],$A2,operations[[Month]:[Month]],L$1)</f>
        <v>-2000</v>
      </c>
      <c r="M2" s="8">
        <f>SUMIFS(operations[[Amount]:[Amount]], operations[[Category]:[Category]],$A2,operations[[Month]:[Month]],M$1)</f>
        <v>-2000</v>
      </c>
      <c r="N2" s="8">
        <f>SUMIFS(operations[[Amount]:[Amount]], operations[[Category]:[Category]],$A2,operations[[Month]:[Month]],N$1)</f>
        <v>-2000</v>
      </c>
      <c r="O2" s="8">
        <f>SUM(C2:N2)</f>
        <v>-24000</v>
      </c>
    </row>
    <row r="3" spans="1:15" outlineLevel="2" x14ac:dyDescent="0.25">
      <c r="A3" s="17" t="s">
        <v>22</v>
      </c>
      <c r="B3" s="16" t="s">
        <v>32</v>
      </c>
      <c r="C3" s="8">
        <f>SUMIFS(operations[[Amount]:[Amount]], operations[[Category]:[Category]],$A3,operations[[Month]:[Month]],C$1)</f>
        <v>-80</v>
      </c>
      <c r="D3" s="8">
        <f>SUMIFS(operations[[Amount]:[Amount]], operations[[Category]:[Category]],$A3,operations[[Month]:[Month]],D$1)</f>
        <v>0</v>
      </c>
      <c r="E3" s="8">
        <f>SUMIFS(operations[[Amount]:[Amount]], operations[[Category]:[Category]],$A3,operations[[Month]:[Month]],E$1)</f>
        <v>-469.9</v>
      </c>
      <c r="F3" s="8">
        <f>SUMIFS(operations[[Amount]:[Amount]], operations[[Category]:[Category]],$A3,operations[[Month]:[Month]],F$1)</f>
        <v>-149</v>
      </c>
      <c r="G3" s="8">
        <f>SUMIFS(operations[[Amount]:[Amount]], operations[[Category]:[Category]],$A3,operations[[Month]:[Month]],G$1)</f>
        <v>0</v>
      </c>
      <c r="H3" s="8">
        <f>SUMIFS(operations[[Amount]:[Amount]], operations[[Category]:[Category]],$A3,operations[[Month]:[Month]],H$1)</f>
        <v>-300</v>
      </c>
      <c r="I3" s="8">
        <f>SUMIFS(operations[[Amount]:[Amount]], operations[[Category]:[Category]],$A3,operations[[Month]:[Month]],I$1)</f>
        <v>250</v>
      </c>
      <c r="J3" s="8">
        <f>SUMIFS(operations[[Amount]:[Amount]], operations[[Category]:[Category]],$A3,operations[[Month]:[Month]],J$1)</f>
        <v>-300</v>
      </c>
      <c r="K3" s="8">
        <f>SUMIFS(operations[[Amount]:[Amount]], operations[[Category]:[Category]],$A3,operations[[Month]:[Month]],K$1)</f>
        <v>0</v>
      </c>
      <c r="L3" s="8">
        <f>SUMIFS(operations[[Amount]:[Amount]], operations[[Category]:[Category]],$A3,operations[[Month]:[Month]],L$1)</f>
        <v>0</v>
      </c>
      <c r="M3" s="8">
        <f>SUMIFS(operations[[Amount]:[Amount]], operations[[Category]:[Category]],$A3,operations[[Month]:[Month]],M$1)</f>
        <v>-158</v>
      </c>
      <c r="N3" s="8">
        <f>SUMIFS(operations[[Amount]:[Amount]], operations[[Category]:[Category]],$A3,operations[[Month]:[Month]],N$1)</f>
        <v>-120</v>
      </c>
      <c r="O3" s="8">
        <f t="shared" ref="O3:O19" si="0">SUM(C3:N3)</f>
        <v>-1326.9</v>
      </c>
    </row>
    <row r="4" spans="1:15" outlineLevel="2" x14ac:dyDescent="0.25">
      <c r="A4" s="27" t="s">
        <v>20</v>
      </c>
      <c r="B4" s="18" t="s">
        <v>32</v>
      </c>
      <c r="C4" s="8">
        <f>SUMIFS(operations[[Amount]:[Amount]], operations[[Category]:[Category]],$A4,operations[[Month]:[Month]],C$1)</f>
        <v>-85</v>
      </c>
      <c r="D4" s="8">
        <f>SUMIFS(operations[[Amount]:[Amount]], operations[[Category]:[Category]],$A4,operations[[Month]:[Month]],D$1)</f>
        <v>-350</v>
      </c>
      <c r="E4" s="8">
        <f>SUMIFS(operations[[Amount]:[Amount]], operations[[Category]:[Category]],$A4,operations[[Month]:[Month]],E$1)</f>
        <v>-200</v>
      </c>
      <c r="F4" s="8">
        <f>SUMIFS(operations[[Amount]:[Amount]], operations[[Category]:[Category]],$A4,operations[[Month]:[Month]],F$1)</f>
        <v>-1057.9000000000001</v>
      </c>
      <c r="G4" s="8">
        <f>SUMIFS(operations[[Amount]:[Amount]], operations[[Category]:[Category]],$A4,operations[[Month]:[Month]],G$1)</f>
        <v>-80</v>
      </c>
      <c r="H4" s="8">
        <f>SUMIFS(operations[[Amount]:[Amount]], operations[[Category]:[Category]],$A4,operations[[Month]:[Month]],H$1)</f>
        <v>-200</v>
      </c>
      <c r="I4" s="8">
        <f>SUMIFS(operations[[Amount]:[Amount]], operations[[Category]:[Category]],$A4,operations[[Month]:[Month]],I$1)</f>
        <v>-700</v>
      </c>
      <c r="J4" s="8">
        <f>SUMIFS(operations[[Amount]:[Amount]], operations[[Category]:[Category]],$A4,operations[[Month]:[Month]],J$1)</f>
        <v>-250</v>
      </c>
      <c r="K4" s="8">
        <f>SUMIFS(operations[[Amount]:[Amount]], operations[[Category]:[Category]],$A4,operations[[Month]:[Month]],K$1)</f>
        <v>-20</v>
      </c>
      <c r="L4" s="8">
        <f>SUMIFS(operations[[Amount]:[Amount]], operations[[Category]:[Category]],$A4,operations[[Month]:[Month]],L$1)</f>
        <v>-40</v>
      </c>
      <c r="M4" s="8">
        <f>SUMIFS(operations[[Amount]:[Amount]], operations[[Category]:[Category]],$A4,operations[[Month]:[Month]],M$1)</f>
        <v>-214</v>
      </c>
      <c r="N4" s="8">
        <f>SUMIFS(operations[[Amount]:[Amount]], operations[[Category]:[Category]],$A4,operations[[Month]:[Month]],N$1)</f>
        <v>-450</v>
      </c>
      <c r="O4" s="8">
        <f t="shared" si="0"/>
        <v>-3646.9</v>
      </c>
    </row>
    <row r="5" spans="1:15" outlineLevel="2" x14ac:dyDescent="0.25">
      <c r="A5" s="27" t="s">
        <v>9</v>
      </c>
      <c r="B5" s="19" t="s">
        <v>32</v>
      </c>
      <c r="C5" s="8">
        <f>SUMIFS(operations[[Amount]:[Amount]], operations[[Category]:[Category]],$A5,operations[[Month]:[Month]],C$1)</f>
        <v>-1715</v>
      </c>
      <c r="D5" s="8">
        <f>SUMIFS(operations[[Amount]:[Amount]], operations[[Category]:[Category]],$A5,operations[[Month]:[Month]],D$1)</f>
        <v>-405.5</v>
      </c>
      <c r="E5" s="8">
        <f>SUMIFS(operations[[Amount]:[Amount]], operations[[Category]:[Category]],$A5,operations[[Month]:[Month]],E$1)</f>
        <v>-734.99</v>
      </c>
      <c r="F5" s="8">
        <f>SUMIFS(operations[[Amount]:[Amount]], operations[[Category]:[Category]],$A5,operations[[Month]:[Month]],F$1)</f>
        <v>-372.26</v>
      </c>
      <c r="G5" s="8">
        <f>SUMIFS(operations[[Amount]:[Amount]], operations[[Category]:[Category]],$A5,operations[[Month]:[Month]],G$1)</f>
        <v>-1000</v>
      </c>
      <c r="H5" s="8">
        <f>SUMIFS(operations[[Amount]:[Amount]], operations[[Category]:[Category]],$A5,operations[[Month]:[Month]],H$1)</f>
        <v>-1000</v>
      </c>
      <c r="I5" s="8">
        <f>SUMIFS(operations[[Amount]:[Amount]], operations[[Category]:[Category]],$A5,operations[[Month]:[Month]],I$1)</f>
        <v>-165</v>
      </c>
      <c r="J5" s="8">
        <f>SUMIFS(operations[[Amount]:[Amount]], operations[[Category]:[Category]],$A5,operations[[Month]:[Month]],J$1)</f>
        <v>-749.5</v>
      </c>
      <c r="K5" s="8">
        <f>SUMIFS(operations[[Amount]:[Amount]], operations[[Category]:[Category]],$A5,operations[[Month]:[Month]],K$1)</f>
        <v>-538.5</v>
      </c>
      <c r="L5" s="8">
        <f>SUMIFS(operations[[Amount]:[Amount]], operations[[Category]:[Category]],$A5,operations[[Month]:[Month]],L$1)</f>
        <v>-600</v>
      </c>
      <c r="M5" s="8">
        <f>SUMIFS(operations[[Amount]:[Amount]], operations[[Category]:[Category]],$A5,operations[[Month]:[Month]],M$1)</f>
        <v>-506</v>
      </c>
      <c r="N5" s="8">
        <f>SUMIFS(operations[[Amount]:[Amount]], operations[[Category]:[Category]],$A5,operations[[Month]:[Month]],N$1)</f>
        <v>-700</v>
      </c>
      <c r="O5" s="8">
        <f t="shared" si="0"/>
        <v>-8486.75</v>
      </c>
    </row>
    <row r="6" spans="1:15" outlineLevel="2" x14ac:dyDescent="0.25">
      <c r="A6" s="27" t="s">
        <v>28</v>
      </c>
      <c r="B6" s="19" t="s">
        <v>32</v>
      </c>
      <c r="C6" s="8">
        <f>SUMIFS(operations[[Amount]:[Amount]], operations[[Category]:[Category]],$A6,operations[[Month]:[Month]],C$1)</f>
        <v>-100</v>
      </c>
      <c r="D6" s="8">
        <f>SUMIFS(operations[[Amount]:[Amount]], operations[[Category]:[Category]],$A6,operations[[Month]:[Month]],D$1)</f>
        <v>-250</v>
      </c>
      <c r="E6" s="8">
        <f>SUMIFS(operations[[Amount]:[Amount]], operations[[Category]:[Category]],$A6,operations[[Month]:[Month]],E$1)</f>
        <v>-9.5</v>
      </c>
      <c r="F6" s="8">
        <f>SUMIFS(operations[[Amount]:[Amount]], operations[[Category]:[Category]],$A6,operations[[Month]:[Month]],F$1)</f>
        <v>-23.5</v>
      </c>
      <c r="G6" s="8">
        <f>SUMIFS(operations[[Amount]:[Amount]], operations[[Category]:[Category]],$A6,operations[[Month]:[Month]],G$1)</f>
        <v>0</v>
      </c>
      <c r="H6" s="8">
        <f>SUMIFS(operations[[Amount]:[Amount]], operations[[Category]:[Category]],$A6,operations[[Month]:[Month]],H$1)</f>
        <v>-100</v>
      </c>
      <c r="I6" s="8">
        <f>SUMIFS(operations[[Amount]:[Amount]], operations[[Category]:[Category]],$A6,operations[[Month]:[Month]],I$1)</f>
        <v>-300</v>
      </c>
      <c r="J6" s="8">
        <f>SUMIFS(operations[[Amount]:[Amount]], operations[[Category]:[Category]],$A6,operations[[Month]:[Month]],J$1)</f>
        <v>-400</v>
      </c>
      <c r="K6" s="8">
        <f>SUMIFS(operations[[Amount]:[Amount]], operations[[Category]:[Category]],$A6,operations[[Month]:[Month]],K$1)</f>
        <v>0</v>
      </c>
      <c r="L6" s="8">
        <f>SUMIFS(operations[[Amount]:[Amount]], operations[[Category]:[Category]],$A6,operations[[Month]:[Month]],L$1)</f>
        <v>0</v>
      </c>
      <c r="M6" s="8">
        <f>SUMIFS(operations[[Amount]:[Amount]], operations[[Category]:[Category]],$A6,operations[[Month]:[Month]],M$1)</f>
        <v>-133</v>
      </c>
      <c r="N6" s="8">
        <f>SUMIFS(operations[[Amount]:[Amount]], operations[[Category]:[Category]],$A6,operations[[Month]:[Month]],N$1)</f>
        <v>-10</v>
      </c>
      <c r="O6" s="8">
        <f t="shared" si="0"/>
        <v>-1326</v>
      </c>
    </row>
    <row r="7" spans="1:15" outlineLevel="2" x14ac:dyDescent="0.25">
      <c r="A7" s="27" t="s">
        <v>14</v>
      </c>
      <c r="B7" s="19" t="s">
        <v>32</v>
      </c>
      <c r="C7" s="8">
        <f>SUMIFS(operations[[Amount]:[Amount]], operations[[Category]:[Category]],$A7,operations[[Month]:[Month]],C$1)</f>
        <v>-150</v>
      </c>
      <c r="D7" s="8">
        <f>SUMIFS(operations[[Amount]:[Amount]], operations[[Category]:[Category]],$A7,operations[[Month]:[Month]],D$1)</f>
        <v>-150</v>
      </c>
      <c r="E7" s="8">
        <f>SUMIFS(operations[[Amount]:[Amount]], operations[[Category]:[Category]],$A7,operations[[Month]:[Month]],E$1)</f>
        <v>-23</v>
      </c>
      <c r="F7" s="8">
        <f>SUMIFS(operations[[Amount]:[Amount]], operations[[Category]:[Category]],$A7,operations[[Month]:[Month]],F$1)</f>
        <v>-49</v>
      </c>
      <c r="G7" s="8">
        <f>SUMIFS(operations[[Amount]:[Amount]], operations[[Category]:[Category]],$A7,operations[[Month]:[Month]],G$1)</f>
        <v>-50</v>
      </c>
      <c r="H7" s="8">
        <f>SUMIFS(operations[[Amount]:[Amount]], operations[[Category]:[Category]],$A7,operations[[Month]:[Month]],H$1)</f>
        <v>-50</v>
      </c>
      <c r="I7" s="8">
        <f>SUMIFS(operations[[Amount]:[Amount]], operations[[Category]:[Category]],$A7,operations[[Month]:[Month]],I$1)</f>
        <v>0</v>
      </c>
      <c r="J7" s="8">
        <f>SUMIFS(operations[[Amount]:[Amount]], operations[[Category]:[Category]],$A7,operations[[Month]:[Month]],J$1)</f>
        <v>0</v>
      </c>
      <c r="K7" s="8">
        <f>SUMIFS(operations[[Amount]:[Amount]], operations[[Category]:[Category]],$A7,operations[[Month]:[Month]],K$1)</f>
        <v>-40</v>
      </c>
      <c r="L7" s="8">
        <f>SUMIFS(operations[[Amount]:[Amount]], operations[[Category]:[Category]],$A7,operations[[Month]:[Month]],L$1)</f>
        <v>-40</v>
      </c>
      <c r="M7" s="8">
        <f>SUMIFS(operations[[Amount]:[Amount]], operations[[Category]:[Category]],$A7,operations[[Month]:[Month]],M$1)</f>
        <v>-47</v>
      </c>
      <c r="N7" s="8">
        <f>SUMIFS(operations[[Amount]:[Amount]], operations[[Category]:[Category]],$A7,operations[[Month]:[Month]],N$1)</f>
        <v>0</v>
      </c>
      <c r="O7" s="8">
        <f t="shared" si="0"/>
        <v>-599</v>
      </c>
    </row>
    <row r="8" spans="1:15" outlineLevel="2" x14ac:dyDescent="0.25">
      <c r="A8" s="27" t="s">
        <v>17</v>
      </c>
      <c r="B8" s="19" t="s">
        <v>32</v>
      </c>
      <c r="C8" s="8">
        <f>SUMIFS(operations[[Amount]:[Amount]], operations[[Category]:[Category]],$A8,operations[[Month]:[Month]],C$1)</f>
        <v>-500</v>
      </c>
      <c r="D8" s="8">
        <f>SUMIFS(operations[[Amount]:[Amount]], operations[[Category]:[Category]],$A8,operations[[Month]:[Month]],D$1)</f>
        <v>-765</v>
      </c>
      <c r="E8" s="8">
        <f>SUMIFS(operations[[Amount]:[Amount]], operations[[Category]:[Category]],$A8,operations[[Month]:[Month]],E$1)</f>
        <v>-300</v>
      </c>
      <c r="F8" s="8">
        <f>SUMIFS(operations[[Amount]:[Amount]], operations[[Category]:[Category]],$A8,operations[[Month]:[Month]],F$1)</f>
        <v>-100</v>
      </c>
      <c r="G8" s="8">
        <f>SUMIFS(operations[[Amount]:[Amount]], operations[[Category]:[Category]],$A8,operations[[Month]:[Month]],G$1)</f>
        <v>0</v>
      </c>
      <c r="H8" s="8">
        <f>SUMIFS(operations[[Amount]:[Amount]], operations[[Category]:[Category]],$A8,operations[[Month]:[Month]],H$1)</f>
        <v>0</v>
      </c>
      <c r="I8" s="8">
        <f>SUMIFS(operations[[Amount]:[Amount]], operations[[Category]:[Category]],$A8,operations[[Month]:[Month]],I$1)</f>
        <v>0</v>
      </c>
      <c r="J8" s="8">
        <f>SUMIFS(operations[[Amount]:[Amount]], operations[[Category]:[Category]],$A8,operations[[Month]:[Month]],J$1)</f>
        <v>0</v>
      </c>
      <c r="K8" s="8">
        <f>SUMIFS(operations[[Amount]:[Amount]], operations[[Category]:[Category]],$A8,operations[[Month]:[Month]],K$1)</f>
        <v>0</v>
      </c>
      <c r="L8" s="8">
        <f>SUMIFS(operations[[Amount]:[Amount]], operations[[Category]:[Category]],$A8,operations[[Month]:[Month]],L$1)</f>
        <v>0</v>
      </c>
      <c r="M8" s="8">
        <f>SUMIFS(operations[[Amount]:[Amount]], operations[[Category]:[Category]],$A8,operations[[Month]:[Month]],M$1)</f>
        <v>-234</v>
      </c>
      <c r="N8" s="8">
        <f>SUMIFS(operations[[Amount]:[Amount]], operations[[Category]:[Category]],$A8,operations[[Month]:[Month]],N$1)</f>
        <v>-700</v>
      </c>
      <c r="O8" s="8">
        <f t="shared" si="0"/>
        <v>-2599</v>
      </c>
    </row>
    <row r="9" spans="1:15" outlineLevel="2" x14ac:dyDescent="0.25">
      <c r="A9" s="27" t="s">
        <v>23</v>
      </c>
      <c r="B9" s="18" t="s">
        <v>32</v>
      </c>
      <c r="C9" s="8">
        <f>SUMIFS(operations[[Amount]:[Amount]], operations[[Category]:[Category]],$A9,operations[[Month]:[Month]],C$1)</f>
        <v>-100</v>
      </c>
      <c r="D9" s="8">
        <f>SUMIFS(operations[[Amount]:[Amount]], operations[[Category]:[Category]],$A9,operations[[Month]:[Month]],D$1)</f>
        <v>-100</v>
      </c>
      <c r="E9" s="8">
        <f>SUMIFS(operations[[Amount]:[Amount]], operations[[Category]:[Category]],$A9,operations[[Month]:[Month]],E$1)</f>
        <v>-79.5</v>
      </c>
      <c r="F9" s="8">
        <f>SUMIFS(operations[[Amount]:[Amount]], operations[[Category]:[Category]],$A9,operations[[Month]:[Month]],F$1)</f>
        <v>-139</v>
      </c>
      <c r="G9" s="8">
        <f>SUMIFS(operations[[Amount]:[Amount]], operations[[Category]:[Category]],$A9,operations[[Month]:[Month]],G$1)</f>
        <v>0</v>
      </c>
      <c r="H9" s="8">
        <f>SUMIFS(operations[[Amount]:[Amount]], operations[[Category]:[Category]],$A9,operations[[Month]:[Month]],H$1)</f>
        <v>0</v>
      </c>
      <c r="I9" s="8">
        <f>SUMIFS(operations[[Amount]:[Amount]], operations[[Category]:[Category]],$A9,operations[[Month]:[Month]],I$1)</f>
        <v>0</v>
      </c>
      <c r="J9" s="8">
        <f>SUMIFS(operations[[Amount]:[Amount]], operations[[Category]:[Category]],$A9,operations[[Month]:[Month]],J$1)</f>
        <v>0</v>
      </c>
      <c r="K9" s="8">
        <f>SUMIFS(operations[[Amount]:[Amount]], operations[[Category]:[Category]],$A9,operations[[Month]:[Month]],K$1)</f>
        <v>0</v>
      </c>
      <c r="L9" s="8">
        <f>SUMIFS(operations[[Amount]:[Amount]], operations[[Category]:[Category]],$A9,operations[[Month]:[Month]],L$1)</f>
        <v>0</v>
      </c>
      <c r="M9" s="8">
        <f>SUMIFS(operations[[Amount]:[Amount]], operations[[Category]:[Category]],$A9,operations[[Month]:[Month]],M$1)</f>
        <v>0</v>
      </c>
      <c r="N9" s="8">
        <f>SUMIFS(operations[[Amount]:[Amount]], operations[[Category]:[Category]],$A9,operations[[Month]:[Month]],N$1)</f>
        <v>-100</v>
      </c>
      <c r="O9" s="8">
        <f t="shared" si="0"/>
        <v>-518.5</v>
      </c>
    </row>
    <row r="10" spans="1:15" outlineLevel="2" x14ac:dyDescent="0.25">
      <c r="A10" s="27" t="s">
        <v>21</v>
      </c>
      <c r="B10" s="20" t="s">
        <v>32</v>
      </c>
      <c r="C10" s="8">
        <f>SUMIFS(operations[[Amount]:[Amount]], operations[[Category]:[Category]],$A10,operations[[Month]:[Month]],C$1)</f>
        <v>-80</v>
      </c>
      <c r="D10" s="8">
        <f>SUMIFS(operations[[Amount]:[Amount]], operations[[Category]:[Category]],$A10,operations[[Month]:[Month]],D$1)</f>
        <v>-80</v>
      </c>
      <c r="E10" s="8">
        <f>SUMIFS(operations[[Amount]:[Amount]], operations[[Category]:[Category]],$A10,operations[[Month]:[Month]],E$1)</f>
        <v>-82.5</v>
      </c>
      <c r="F10" s="8">
        <f>SUMIFS(operations[[Amount]:[Amount]], operations[[Category]:[Category]],$A10,operations[[Month]:[Month]],F$1)</f>
        <v>-82.5</v>
      </c>
      <c r="G10" s="8">
        <f>SUMIFS(operations[[Amount]:[Amount]], operations[[Category]:[Category]],$A10,operations[[Month]:[Month]],G$1)</f>
        <v>-80</v>
      </c>
      <c r="H10" s="8">
        <f>SUMIFS(operations[[Amount]:[Amount]], operations[[Category]:[Category]],$A10,operations[[Month]:[Month]],H$1)</f>
        <v>-80</v>
      </c>
      <c r="I10" s="8">
        <f>SUMIFS(operations[[Amount]:[Amount]], operations[[Category]:[Category]],$A10,operations[[Month]:[Month]],I$1)</f>
        <v>-90</v>
      </c>
      <c r="J10" s="8">
        <f>SUMIFS(operations[[Amount]:[Amount]], operations[[Category]:[Category]],$A10,operations[[Month]:[Month]],J$1)</f>
        <v>-290</v>
      </c>
      <c r="K10" s="8">
        <f>SUMIFS(operations[[Amount]:[Amount]], operations[[Category]:[Category]],$A10,operations[[Month]:[Month]],K$1)</f>
        <v>-150</v>
      </c>
      <c r="L10" s="8">
        <f>SUMIFS(operations[[Amount]:[Amount]], operations[[Category]:[Category]],$A10,operations[[Month]:[Month]],L$1)</f>
        <v>-150</v>
      </c>
      <c r="M10" s="8">
        <f>SUMIFS(operations[[Amount]:[Amount]], operations[[Category]:[Category]],$A10,operations[[Month]:[Month]],M$1)</f>
        <v>-208</v>
      </c>
      <c r="N10" s="8">
        <f>SUMIFS(operations[[Amount]:[Amount]], operations[[Category]:[Category]],$A10,operations[[Month]:[Month]],N$1)</f>
        <v>0</v>
      </c>
      <c r="O10" s="8">
        <f t="shared" si="0"/>
        <v>-1373</v>
      </c>
    </row>
    <row r="11" spans="1:15" outlineLevel="1" x14ac:dyDescent="0.25">
      <c r="A11" s="29"/>
      <c r="B11" s="21" t="s">
        <v>53</v>
      </c>
      <c r="C11" s="8">
        <f t="shared" ref="C11:N11" si="1">SUBTOTAL(9,C2:C10)</f>
        <v>-4810</v>
      </c>
      <c r="D11" s="8">
        <f t="shared" si="1"/>
        <v>-4100.5</v>
      </c>
      <c r="E11" s="8">
        <f t="shared" si="1"/>
        <v>-3899.3900000000003</v>
      </c>
      <c r="F11" s="8">
        <f t="shared" si="1"/>
        <v>-3973.16</v>
      </c>
      <c r="G11" s="8">
        <f t="shared" si="1"/>
        <v>-3210</v>
      </c>
      <c r="H11" s="8">
        <f t="shared" si="1"/>
        <v>-3730</v>
      </c>
      <c r="I11" s="8">
        <f t="shared" si="1"/>
        <v>-3005</v>
      </c>
      <c r="J11" s="8">
        <f t="shared" si="1"/>
        <v>-3989.5</v>
      </c>
      <c r="K11" s="8">
        <f t="shared" si="1"/>
        <v>-2748.5</v>
      </c>
      <c r="L11" s="8">
        <f t="shared" si="1"/>
        <v>-2830</v>
      </c>
      <c r="M11" s="8">
        <f t="shared" si="1"/>
        <v>-3500</v>
      </c>
      <c r="N11" s="8">
        <f t="shared" si="1"/>
        <v>-4080</v>
      </c>
      <c r="O11" s="8">
        <f t="shared" si="0"/>
        <v>-43876.05</v>
      </c>
    </row>
    <row r="12" spans="1:15" outlineLevel="2" x14ac:dyDescent="0.25">
      <c r="A12" s="28" t="s">
        <v>19</v>
      </c>
      <c r="B12" s="22" t="s">
        <v>33</v>
      </c>
      <c r="C12" s="8">
        <f>SUMIFS(operations[[Amount]:[Amount]], operations[[Category]:[Category]],$A12,operations[[Month]:[Month]],C$1)</f>
        <v>250</v>
      </c>
      <c r="D12" s="8">
        <f>SUMIFS(operations[[Amount]:[Amount]], operations[[Category]:[Category]],$A12,operations[[Month]:[Month]],D$1)</f>
        <v>0</v>
      </c>
      <c r="E12" s="8">
        <f>SUMIFS(operations[[Amount]:[Amount]], operations[[Category]:[Category]],$A12,operations[[Month]:[Month]],E$1)</f>
        <v>0</v>
      </c>
      <c r="F12" s="8">
        <f>SUMIFS(operations[[Amount]:[Amount]], operations[[Category]:[Category]],$A12,operations[[Month]:[Month]],F$1)</f>
        <v>0</v>
      </c>
      <c r="G12" s="8">
        <f>SUMIFS(operations[[Amount]:[Amount]], operations[[Category]:[Category]],$A12,operations[[Month]:[Month]],G$1)</f>
        <v>0</v>
      </c>
      <c r="H12" s="8">
        <f>SUMIFS(operations[[Amount]:[Amount]], operations[[Category]:[Category]],$A12,operations[[Month]:[Month]],H$1)</f>
        <v>400</v>
      </c>
      <c r="I12" s="8">
        <f>SUMIFS(operations[[Amount]:[Amount]], operations[[Category]:[Category]],$A12,operations[[Month]:[Month]],I$1)</f>
        <v>0</v>
      </c>
      <c r="J12" s="8">
        <f>SUMIFS(operations[[Amount]:[Amount]], operations[[Category]:[Category]],$A12,operations[[Month]:[Month]],J$1)</f>
        <v>0</v>
      </c>
      <c r="K12" s="8">
        <f>SUMIFS(operations[[Amount]:[Amount]], operations[[Category]:[Category]],$A12,operations[[Month]:[Month]],K$1)</f>
        <v>0</v>
      </c>
      <c r="L12" s="8">
        <f>SUMIFS(operations[[Amount]:[Amount]], operations[[Category]:[Category]],$A12,operations[[Month]:[Month]],L$1)</f>
        <v>0</v>
      </c>
      <c r="M12" s="8">
        <f>SUMIFS(operations[[Amount]:[Amount]], operations[[Category]:[Category]],$A12,operations[[Month]:[Month]],M$1)</f>
        <v>0</v>
      </c>
      <c r="N12" s="8">
        <f>SUMIFS(operations[[Amount]:[Amount]], operations[[Category]:[Category]],$A12,operations[[Month]:[Month]],N$1)</f>
        <v>0</v>
      </c>
      <c r="O12" s="8">
        <f t="shared" si="0"/>
        <v>650</v>
      </c>
    </row>
    <row r="13" spans="1:15" outlineLevel="2" x14ac:dyDescent="0.25">
      <c r="A13" s="28" t="s">
        <v>27</v>
      </c>
      <c r="B13" s="22" t="s">
        <v>33</v>
      </c>
      <c r="C13" s="8">
        <f>SUMIFS(operations[[Amount]:[Amount]], operations[[Category]:[Category]],$A13,operations[[Month]:[Month]],C$1)</f>
        <v>105.5</v>
      </c>
      <c r="D13" s="8">
        <f>SUMIFS(operations[[Amount]:[Amount]], operations[[Category]:[Category]],$A13,operations[[Month]:[Month]],D$1)</f>
        <v>115</v>
      </c>
      <c r="E13" s="8">
        <f>SUMIFS(operations[[Amount]:[Amount]], operations[[Category]:[Category]],$A13,operations[[Month]:[Month]],E$1)</f>
        <v>150</v>
      </c>
      <c r="F13" s="8">
        <f>SUMIFS(operations[[Amount]:[Amount]], operations[[Category]:[Category]],$A13,operations[[Month]:[Month]],F$1)</f>
        <v>150</v>
      </c>
      <c r="G13" s="8">
        <f>SUMIFS(operations[[Amount]:[Amount]], operations[[Category]:[Category]],$A13,operations[[Month]:[Month]],G$1)</f>
        <v>0</v>
      </c>
      <c r="H13" s="8">
        <f>SUMIFS(operations[[Amount]:[Amount]], operations[[Category]:[Category]],$A13,operations[[Month]:[Month]],H$1)</f>
        <v>0</v>
      </c>
      <c r="I13" s="8">
        <f>SUMIFS(operations[[Amount]:[Amount]], operations[[Category]:[Category]],$A13,operations[[Month]:[Month]],I$1)</f>
        <v>120</v>
      </c>
      <c r="J13" s="8">
        <f>SUMIFS(operations[[Amount]:[Amount]], operations[[Category]:[Category]],$A13,operations[[Month]:[Month]],J$1)</f>
        <v>0</v>
      </c>
      <c r="K13" s="8">
        <f>SUMIFS(operations[[Amount]:[Amount]], operations[[Category]:[Category]],$A13,operations[[Month]:[Month]],K$1)</f>
        <v>0</v>
      </c>
      <c r="L13" s="8">
        <f>SUMIFS(operations[[Amount]:[Amount]], operations[[Category]:[Category]],$A13,operations[[Month]:[Month]],L$1)</f>
        <v>0</v>
      </c>
      <c r="M13" s="8">
        <f>SUMIFS(operations[[Amount]:[Amount]], operations[[Category]:[Category]],$A13,operations[[Month]:[Month]],M$1)</f>
        <v>0</v>
      </c>
      <c r="N13" s="8">
        <f>SUMIFS(operations[[Amount]:[Amount]], operations[[Category]:[Category]],$A13,operations[[Month]:[Month]],N$1)</f>
        <v>0</v>
      </c>
      <c r="O13" s="8">
        <f t="shared" si="0"/>
        <v>640.5</v>
      </c>
    </row>
    <row r="14" spans="1:15" outlineLevel="2" x14ac:dyDescent="0.25">
      <c r="A14" s="28" t="s">
        <v>30</v>
      </c>
      <c r="B14" s="22" t="s">
        <v>33</v>
      </c>
      <c r="C14" s="8">
        <f>SUMIFS(operations[[Amount]:[Amount]], operations[[Category]:[Category]],$A14,operations[[Month]:[Month]],C$1)</f>
        <v>0</v>
      </c>
      <c r="D14" s="8">
        <f>SUMIFS(operations[[Amount]:[Amount]], operations[[Category]:[Category]],$A14,operations[[Month]:[Month]],D$1)</f>
        <v>0</v>
      </c>
      <c r="E14" s="8">
        <f>SUMIFS(operations[[Amount]:[Amount]], operations[[Category]:[Category]],$A14,operations[[Month]:[Month]],E$1)</f>
        <v>5</v>
      </c>
      <c r="F14" s="8">
        <f>SUMIFS(operations[[Amount]:[Amount]], operations[[Category]:[Category]],$A14,operations[[Month]:[Month]],F$1)</f>
        <v>50</v>
      </c>
      <c r="G14" s="8">
        <f>SUMIFS(operations[[Amount]:[Amount]], operations[[Category]:[Category]],$A14,operations[[Month]:[Month]],G$1)</f>
        <v>0</v>
      </c>
      <c r="H14" s="8">
        <f>SUMIFS(operations[[Amount]:[Amount]], operations[[Category]:[Category]],$A14,operations[[Month]:[Month]],H$1)</f>
        <v>0</v>
      </c>
      <c r="I14" s="8">
        <f>SUMIFS(operations[[Amount]:[Amount]], operations[[Category]:[Category]],$A14,operations[[Month]:[Month]],I$1)</f>
        <v>800</v>
      </c>
      <c r="J14" s="8">
        <f>SUMIFS(operations[[Amount]:[Amount]], operations[[Category]:[Category]],$A14,operations[[Month]:[Month]],J$1)</f>
        <v>400</v>
      </c>
      <c r="K14" s="8">
        <f>SUMIFS(operations[[Amount]:[Amount]], operations[[Category]:[Category]],$A14,operations[[Month]:[Month]],K$1)</f>
        <v>0</v>
      </c>
      <c r="L14" s="8">
        <f>SUMIFS(operations[[Amount]:[Amount]], operations[[Category]:[Category]],$A14,operations[[Month]:[Month]],L$1)</f>
        <v>0</v>
      </c>
      <c r="M14" s="8">
        <f>SUMIFS(operations[[Amount]:[Amount]], operations[[Category]:[Category]],$A14,operations[[Month]:[Month]],M$1)</f>
        <v>400</v>
      </c>
      <c r="N14" s="8">
        <f>SUMIFS(operations[[Amount]:[Amount]], operations[[Category]:[Category]],$A14,operations[[Month]:[Month]],N$1)</f>
        <v>2000</v>
      </c>
      <c r="O14" s="8">
        <f t="shared" si="0"/>
        <v>3655</v>
      </c>
    </row>
    <row r="15" spans="1:15" outlineLevel="2" x14ac:dyDescent="0.25">
      <c r="A15" s="28" t="s">
        <v>15</v>
      </c>
      <c r="B15" s="22" t="s">
        <v>33</v>
      </c>
      <c r="C15" s="8">
        <f>SUMIFS(operations[[Amount]:[Amount]], operations[[Category]:[Category]],$A15,operations[[Month]:[Month]],C$1)</f>
        <v>800</v>
      </c>
      <c r="D15" s="8">
        <f>SUMIFS(operations[[Amount]:[Amount]], operations[[Category]:[Category]],$A15,operations[[Month]:[Month]],D$1)</f>
        <v>1950</v>
      </c>
      <c r="E15" s="8">
        <f>SUMIFS(operations[[Amount]:[Amount]], operations[[Category]:[Category]],$A15,operations[[Month]:[Month]],E$1)</f>
        <v>0</v>
      </c>
      <c r="F15" s="8">
        <f>SUMIFS(operations[[Amount]:[Amount]], operations[[Category]:[Category]],$A15,operations[[Month]:[Month]],F$1)</f>
        <v>0</v>
      </c>
      <c r="G15" s="8">
        <f>SUMIFS(operations[[Amount]:[Amount]], operations[[Category]:[Category]],$A15,operations[[Month]:[Month]],G$1)</f>
        <v>0</v>
      </c>
      <c r="H15" s="8">
        <f>SUMIFS(operations[[Amount]:[Amount]], operations[[Category]:[Category]],$A15,operations[[Month]:[Month]],H$1)</f>
        <v>0</v>
      </c>
      <c r="I15" s="8">
        <f>SUMIFS(operations[[Amount]:[Amount]], operations[[Category]:[Category]],$A15,operations[[Month]:[Month]],I$1)</f>
        <v>0</v>
      </c>
      <c r="J15" s="8">
        <f>SUMIFS(operations[[Amount]:[Amount]], operations[[Category]:[Category]],$A15,operations[[Month]:[Month]],J$1)</f>
        <v>0</v>
      </c>
      <c r="K15" s="8">
        <f>SUMIFS(operations[[Amount]:[Amount]], operations[[Category]:[Category]],$A15,operations[[Month]:[Month]],K$1)</f>
        <v>0</v>
      </c>
      <c r="L15" s="8">
        <f>SUMIFS(operations[[Amount]:[Amount]], operations[[Category]:[Category]],$A15,operations[[Month]:[Month]],L$1)</f>
        <v>0</v>
      </c>
      <c r="M15" s="8">
        <f>SUMIFS(operations[[Amount]:[Amount]], operations[[Category]:[Category]],$A15,operations[[Month]:[Month]],M$1)</f>
        <v>0</v>
      </c>
      <c r="N15" s="8">
        <f>SUMIFS(operations[[Amount]:[Amount]], operations[[Category]:[Category]],$A15,operations[[Month]:[Month]],N$1)</f>
        <v>0</v>
      </c>
      <c r="O15" s="8">
        <f t="shared" si="0"/>
        <v>2750</v>
      </c>
    </row>
    <row r="16" spans="1:15" outlineLevel="2" x14ac:dyDescent="0.25">
      <c r="A16" s="28" t="s">
        <v>10</v>
      </c>
      <c r="B16" s="22" t="s">
        <v>33</v>
      </c>
      <c r="C16" s="8">
        <f>SUMIFS(operations[[Amount]:[Amount]], operations[[Category]:[Category]],$A16,operations[[Month]:[Month]],C$1)</f>
        <v>4500</v>
      </c>
      <c r="D16" s="8">
        <f>SUMIFS(operations[[Amount]:[Amount]], operations[[Category]:[Category]],$A16,operations[[Month]:[Month]],D$1)</f>
        <v>4500</v>
      </c>
      <c r="E16" s="8">
        <f>SUMIFS(operations[[Amount]:[Amount]], operations[[Category]:[Category]],$A16,operations[[Month]:[Month]],E$1)</f>
        <v>4500</v>
      </c>
      <c r="F16" s="8">
        <f>SUMIFS(operations[[Amount]:[Amount]], operations[[Category]:[Category]],$A16,operations[[Month]:[Month]],F$1)</f>
        <v>4500</v>
      </c>
      <c r="G16" s="8">
        <f>SUMIFS(operations[[Amount]:[Amount]], operations[[Category]:[Category]],$A16,operations[[Month]:[Month]],G$1)</f>
        <v>4500</v>
      </c>
      <c r="H16" s="8">
        <f>SUMIFS(operations[[Amount]:[Amount]], operations[[Category]:[Category]],$A16,operations[[Month]:[Month]],H$1)</f>
        <v>4500</v>
      </c>
      <c r="I16" s="8">
        <f>SUMIFS(operations[[Amount]:[Amount]], operations[[Category]:[Category]],$A16,operations[[Month]:[Month]],I$1)</f>
        <v>4500</v>
      </c>
      <c r="J16" s="8">
        <f>SUMIFS(operations[[Amount]:[Amount]], operations[[Category]:[Category]],$A16,operations[[Month]:[Month]],J$1)</f>
        <v>4500</v>
      </c>
      <c r="K16" s="8">
        <f>SUMIFS(operations[[Amount]:[Amount]], operations[[Category]:[Category]],$A16,operations[[Month]:[Month]],K$1)</f>
        <v>4500</v>
      </c>
      <c r="L16" s="8">
        <f>SUMIFS(operations[[Amount]:[Amount]], operations[[Category]:[Category]],$A16,operations[[Month]:[Month]],L$1)</f>
        <v>4500</v>
      </c>
      <c r="M16" s="8">
        <f>SUMIFS(operations[[Amount]:[Amount]], operations[[Category]:[Category]],$A16,operations[[Month]:[Month]],M$1)</f>
        <v>4500</v>
      </c>
      <c r="N16" s="8">
        <f>SUMIFS(operations[[Amount]:[Amount]], operations[[Category]:[Category]],$A16,operations[[Month]:[Month]],N$1)</f>
        <v>4500</v>
      </c>
      <c r="O16" s="8">
        <f t="shared" si="0"/>
        <v>54000</v>
      </c>
    </row>
    <row r="17" spans="1:15" outlineLevel="2" x14ac:dyDescent="0.25">
      <c r="A17" s="28" t="s">
        <v>31</v>
      </c>
      <c r="B17" s="22" t="s">
        <v>33</v>
      </c>
      <c r="C17" s="8">
        <f>SUMIFS(operations[[Amount]:[Amount]], operations[[Category]:[Category]],$A17,operations[[Month]:[Month]],C$1)</f>
        <v>0</v>
      </c>
      <c r="D17" s="8">
        <f>SUMIFS(operations[[Amount]:[Amount]], operations[[Category]:[Category]],$A17,operations[[Month]:[Month]],D$1)</f>
        <v>0</v>
      </c>
      <c r="E17" s="8">
        <f>SUMIFS(operations[[Amount]:[Amount]], operations[[Category]:[Category]],$A17,operations[[Month]:[Month]],E$1)</f>
        <v>0</v>
      </c>
      <c r="F17" s="8">
        <f>SUMIFS(operations[[Amount]:[Amount]], operations[[Category]:[Category]],$A17,operations[[Month]:[Month]],F$1)</f>
        <v>0</v>
      </c>
      <c r="G17" s="8">
        <f>SUMIFS(operations[[Amount]:[Amount]], operations[[Category]:[Category]],$A17,operations[[Month]:[Month]],G$1)</f>
        <v>0</v>
      </c>
      <c r="H17" s="8">
        <f>SUMIFS(operations[[Amount]:[Amount]], operations[[Category]:[Category]],$A17,operations[[Month]:[Month]],H$1)</f>
        <v>0</v>
      </c>
      <c r="I17" s="8">
        <f>SUMIFS(operations[[Amount]:[Amount]], operations[[Category]:[Category]],$A17,operations[[Month]:[Month]],I$1)</f>
        <v>500</v>
      </c>
      <c r="J17" s="8">
        <f>SUMIFS(operations[[Amount]:[Amount]], operations[[Category]:[Category]],$A17,operations[[Month]:[Month]],J$1)</f>
        <v>500</v>
      </c>
      <c r="K17" s="8">
        <f>SUMIFS(operations[[Amount]:[Amount]], operations[[Category]:[Category]],$A17,operations[[Month]:[Month]],K$1)</f>
        <v>0</v>
      </c>
      <c r="L17" s="8">
        <f>SUMIFS(operations[[Amount]:[Amount]], operations[[Category]:[Category]],$A17,operations[[Month]:[Month]],L$1)</f>
        <v>0</v>
      </c>
      <c r="M17" s="8">
        <f>SUMIFS(operations[[Amount]:[Amount]], operations[[Category]:[Category]],$A17,operations[[Month]:[Month]],M$1)</f>
        <v>0</v>
      </c>
      <c r="N17" s="8">
        <f>SUMIFS(operations[[Amount]:[Amount]], operations[[Category]:[Category]],$A17,operations[[Month]:[Month]],N$1)</f>
        <v>0</v>
      </c>
      <c r="O17" s="8">
        <f t="shared" si="0"/>
        <v>1000</v>
      </c>
    </row>
    <row r="18" spans="1:15" outlineLevel="1" x14ac:dyDescent="0.25">
      <c r="A18" s="25"/>
      <c r="B18" s="23" t="s">
        <v>54</v>
      </c>
      <c r="C18" s="8">
        <f t="shared" ref="C18:N18" si="2">SUBTOTAL(9,C12:C17)</f>
        <v>5655.5</v>
      </c>
      <c r="D18" s="8">
        <f t="shared" si="2"/>
        <v>6565</v>
      </c>
      <c r="E18" s="8">
        <f t="shared" si="2"/>
        <v>4655</v>
      </c>
      <c r="F18" s="8">
        <f t="shared" si="2"/>
        <v>4700</v>
      </c>
      <c r="G18" s="8">
        <f t="shared" si="2"/>
        <v>4500</v>
      </c>
      <c r="H18" s="8">
        <f t="shared" si="2"/>
        <v>4900</v>
      </c>
      <c r="I18" s="8">
        <f t="shared" si="2"/>
        <v>5920</v>
      </c>
      <c r="J18" s="8">
        <f t="shared" si="2"/>
        <v>5400</v>
      </c>
      <c r="K18" s="8">
        <f t="shared" si="2"/>
        <v>4500</v>
      </c>
      <c r="L18" s="8">
        <f t="shared" si="2"/>
        <v>4500</v>
      </c>
      <c r="M18" s="8">
        <f t="shared" si="2"/>
        <v>4900</v>
      </c>
      <c r="N18" s="8">
        <f t="shared" si="2"/>
        <v>6500</v>
      </c>
      <c r="O18" s="8">
        <f t="shared" si="0"/>
        <v>62695.5</v>
      </c>
    </row>
    <row r="19" spans="1:15" outlineLevel="2" x14ac:dyDescent="0.25">
      <c r="A19" s="26" t="s">
        <v>29</v>
      </c>
      <c r="B19" s="24" t="s">
        <v>29</v>
      </c>
      <c r="C19" s="8">
        <f>SUMIFS(operations[[Amount]:[Amount]], operations[[Category]:[Category]],$A19,operations[[Month]:[Month]],C$1)</f>
        <v>0</v>
      </c>
      <c r="D19" s="8">
        <f>SUMIFS(operations[[Amount]:[Amount]], operations[[Category]:[Category]],$A19,operations[[Month]:[Month]],D$1)</f>
        <v>0</v>
      </c>
      <c r="E19" s="8">
        <f>SUMIFS(operations[[Amount]:[Amount]], operations[[Category]:[Category]],$A19,operations[[Month]:[Month]],E$1)</f>
        <v>0</v>
      </c>
      <c r="F19" s="8">
        <f>SUMIFS(operations[[Amount]:[Amount]], operations[[Category]:[Category]],$A19,operations[[Month]:[Month]],F$1)</f>
        <v>0</v>
      </c>
      <c r="G19" s="8">
        <f>SUMIFS(operations[[Amount]:[Amount]], operations[[Category]:[Category]],$A19,operations[[Month]:[Month]],G$1)</f>
        <v>0</v>
      </c>
      <c r="H19" s="8">
        <f>SUMIFS(operations[[Amount]:[Amount]], operations[[Category]:[Category]],$A19,operations[[Month]:[Month]],H$1)</f>
        <v>0</v>
      </c>
      <c r="I19" s="8">
        <f>SUMIFS(operations[[Amount]:[Amount]], operations[[Category]:[Category]],$A19,operations[[Month]:[Month]],I$1)</f>
        <v>0</v>
      </c>
      <c r="J19" s="8">
        <f>SUMIFS(operations[[Amount]:[Amount]], operations[[Category]:[Category]],$A19,operations[[Month]:[Month]],J$1)</f>
        <v>0</v>
      </c>
      <c r="K19" s="8">
        <f>SUMIFS(operations[[Amount]:[Amount]], operations[[Category]:[Category]],$A19,operations[[Month]:[Month]],K$1)</f>
        <v>0</v>
      </c>
      <c r="L19" s="8">
        <f>SUMIFS(operations[[Amount]:[Amount]], operations[[Category]:[Category]],$A19,operations[[Month]:[Month]],L$1)</f>
        <v>0</v>
      </c>
      <c r="M19" s="8">
        <f>SUMIFS(operations[[Amount]:[Amount]], operations[[Category]:[Category]],$A19,operations[[Month]:[Month]],M$1)</f>
        <v>0</v>
      </c>
      <c r="N19" s="8">
        <f>SUMIFS(operations[[Amount]:[Amount]], operations[[Category]:[Category]],$A19,operations[[Month]:[Month]],N$1)</f>
        <v>0</v>
      </c>
      <c r="O19" s="8">
        <f t="shared" si="0"/>
        <v>0</v>
      </c>
    </row>
    <row r="20" spans="1:15" outlineLevel="1" x14ac:dyDescent="0.25">
      <c r="A20" s="12"/>
      <c r="B20" s="14" t="s">
        <v>55</v>
      </c>
      <c r="C20" s="8">
        <f t="shared" ref="C20:O20" si="3">SUBTOTAL(9,C19:C19)</f>
        <v>0</v>
      </c>
      <c r="D20" s="8">
        <f t="shared" si="3"/>
        <v>0</v>
      </c>
      <c r="E20" s="8">
        <f t="shared" si="3"/>
        <v>0</v>
      </c>
      <c r="F20" s="8">
        <f t="shared" si="3"/>
        <v>0</v>
      </c>
      <c r="G20" s="8">
        <f t="shared" si="3"/>
        <v>0</v>
      </c>
      <c r="H20" s="8">
        <f t="shared" si="3"/>
        <v>0</v>
      </c>
      <c r="I20" s="8">
        <f t="shared" si="3"/>
        <v>0</v>
      </c>
      <c r="J20" s="8">
        <f t="shared" si="3"/>
        <v>0</v>
      </c>
      <c r="K20" s="8">
        <f t="shared" si="3"/>
        <v>0</v>
      </c>
      <c r="L20" s="8">
        <f t="shared" si="3"/>
        <v>0</v>
      </c>
      <c r="M20" s="8">
        <f t="shared" si="3"/>
        <v>0</v>
      </c>
      <c r="N20" s="8">
        <f t="shared" si="3"/>
        <v>0</v>
      </c>
      <c r="O20" s="8">
        <f t="shared" si="3"/>
        <v>0</v>
      </c>
    </row>
    <row r="21" spans="1:15" x14ac:dyDescent="0.25">
      <c r="A21" s="12"/>
      <c r="B21" s="14" t="s">
        <v>56</v>
      </c>
      <c r="C21" s="8">
        <f t="shared" ref="C21:N21" si="4">SUBTOTAL(9,C2:C19)</f>
        <v>845.5</v>
      </c>
      <c r="D21" s="8">
        <f t="shared" si="4"/>
        <v>2464.5</v>
      </c>
      <c r="E21" s="8">
        <f t="shared" si="4"/>
        <v>755.60999999999967</v>
      </c>
      <c r="F21" s="8">
        <f t="shared" si="4"/>
        <v>726.84000000000015</v>
      </c>
      <c r="G21" s="8">
        <f t="shared" si="4"/>
        <v>1290</v>
      </c>
      <c r="H21" s="8">
        <f t="shared" si="4"/>
        <v>1170</v>
      </c>
      <c r="I21" s="8">
        <f t="shared" si="4"/>
        <v>2915</v>
      </c>
      <c r="J21" s="8">
        <f t="shared" si="4"/>
        <v>1410.5</v>
      </c>
      <c r="K21" s="8">
        <f t="shared" si="4"/>
        <v>1751.5</v>
      </c>
      <c r="L21" s="8">
        <f t="shared" si="4"/>
        <v>1670</v>
      </c>
      <c r="M21" s="8">
        <f t="shared" si="4"/>
        <v>1400</v>
      </c>
      <c r="N21" s="8">
        <f t="shared" si="4"/>
        <v>2420</v>
      </c>
      <c r="O21" s="8">
        <f>SUM(O20,O18,O11)</f>
        <v>18819.449999999997</v>
      </c>
    </row>
  </sheetData>
  <dataValidations disablePrompts="1" count="1">
    <dataValidation type="list" allowBlank="1" showInputMessage="1" showErrorMessage="1" sqref="B2:B10 B12:B17" xr:uid="{79EAE6F5-E6B5-4CC3-834D-8C5112795473}">
      <formula1>"Income, expense, transfer"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1C7B-8807-4F15-8B88-4FE762556C9F}">
  <dimension ref="A3:N24"/>
  <sheetViews>
    <sheetView workbookViewId="0">
      <selection activeCell="L4" sqref="L4"/>
    </sheetView>
  </sheetViews>
  <sheetFormatPr defaultRowHeight="15" x14ac:dyDescent="0.25"/>
  <cols>
    <col min="1" max="1" width="18.85546875" bestFit="1" customWidth="1"/>
    <col min="2" max="2" width="17.7109375" bestFit="1" customWidth="1"/>
    <col min="3" max="13" width="10.5703125" bestFit="1" customWidth="1"/>
    <col min="14" max="14" width="14.28515625" bestFit="1" customWidth="1"/>
  </cols>
  <sheetData>
    <row r="3" spans="1:14" x14ac:dyDescent="0.25">
      <c r="A3" s="31" t="s">
        <v>57</v>
      </c>
      <c r="B3" s="31" t="s">
        <v>59</v>
      </c>
    </row>
    <row r="4" spans="1:14" x14ac:dyDescent="0.25">
      <c r="A4" s="31" t="s">
        <v>58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56</v>
      </c>
    </row>
    <row r="5" spans="1:14" x14ac:dyDescent="0.25">
      <c r="A5" s="32" t="s">
        <v>32</v>
      </c>
      <c r="B5" s="30">
        <v>-4810</v>
      </c>
      <c r="C5" s="30">
        <v>-4100.5</v>
      </c>
      <c r="D5" s="30">
        <v>-3899.3900000000003</v>
      </c>
      <c r="E5" s="30">
        <v>-3973.16</v>
      </c>
      <c r="F5" s="30">
        <v>-3210</v>
      </c>
      <c r="G5" s="30">
        <v>-3730</v>
      </c>
      <c r="H5" s="30">
        <v>-3005</v>
      </c>
      <c r="I5" s="30">
        <v>-3989.5</v>
      </c>
      <c r="J5" s="30">
        <v>-2748.5</v>
      </c>
      <c r="K5" s="30">
        <v>-2830</v>
      </c>
      <c r="L5" s="30">
        <v>-3500</v>
      </c>
      <c r="M5" s="30">
        <v>-4080</v>
      </c>
      <c r="N5" s="30">
        <v>-43876.05</v>
      </c>
    </row>
    <row r="6" spans="1:14" x14ac:dyDescent="0.25">
      <c r="A6" s="33" t="s">
        <v>11</v>
      </c>
      <c r="B6" s="30">
        <v>-2000</v>
      </c>
      <c r="C6" s="30">
        <v>-2000</v>
      </c>
      <c r="D6" s="30">
        <v>-2000</v>
      </c>
      <c r="E6" s="30">
        <v>-2000</v>
      </c>
      <c r="F6" s="30">
        <v>-2000</v>
      </c>
      <c r="G6" s="30">
        <v>-2000</v>
      </c>
      <c r="H6" s="30">
        <v>-2000</v>
      </c>
      <c r="I6" s="30">
        <v>-2000</v>
      </c>
      <c r="J6" s="30">
        <v>-2000</v>
      </c>
      <c r="K6" s="30">
        <v>-2000</v>
      </c>
      <c r="L6" s="30">
        <v>-2000</v>
      </c>
      <c r="M6" s="30">
        <v>-2000</v>
      </c>
      <c r="N6" s="30">
        <v>-24000</v>
      </c>
    </row>
    <row r="7" spans="1:14" x14ac:dyDescent="0.25">
      <c r="A7" s="33" t="s">
        <v>22</v>
      </c>
      <c r="B7" s="30">
        <v>-80</v>
      </c>
      <c r="C7" s="30"/>
      <c r="D7" s="30">
        <v>-469.9</v>
      </c>
      <c r="E7" s="30">
        <v>-149</v>
      </c>
      <c r="F7" s="30"/>
      <c r="G7" s="30">
        <v>-300</v>
      </c>
      <c r="H7" s="30">
        <v>250</v>
      </c>
      <c r="I7" s="30">
        <v>-300</v>
      </c>
      <c r="J7" s="30"/>
      <c r="K7" s="30"/>
      <c r="L7" s="30">
        <v>-158</v>
      </c>
      <c r="M7" s="30">
        <v>-120</v>
      </c>
      <c r="N7" s="30">
        <v>-1326.9</v>
      </c>
    </row>
    <row r="8" spans="1:14" x14ac:dyDescent="0.25">
      <c r="A8" s="33" t="s">
        <v>20</v>
      </c>
      <c r="B8" s="30">
        <v>-85</v>
      </c>
      <c r="C8" s="30">
        <v>-350</v>
      </c>
      <c r="D8" s="30">
        <v>-200</v>
      </c>
      <c r="E8" s="30">
        <v>-1057.9000000000001</v>
      </c>
      <c r="F8" s="30">
        <v>-80</v>
      </c>
      <c r="G8" s="30">
        <v>-200</v>
      </c>
      <c r="H8" s="30">
        <v>-700</v>
      </c>
      <c r="I8" s="30">
        <v>-250</v>
      </c>
      <c r="J8" s="30">
        <v>-20</v>
      </c>
      <c r="K8" s="30">
        <v>-40</v>
      </c>
      <c r="L8" s="30">
        <v>-214</v>
      </c>
      <c r="M8" s="30">
        <v>-450</v>
      </c>
      <c r="N8" s="30">
        <v>-3646.9</v>
      </c>
    </row>
    <row r="9" spans="1:14" x14ac:dyDescent="0.25">
      <c r="A9" s="33" t="s">
        <v>9</v>
      </c>
      <c r="B9" s="30">
        <v>-1715</v>
      </c>
      <c r="C9" s="30">
        <v>-405.5</v>
      </c>
      <c r="D9" s="30">
        <v>-734.99</v>
      </c>
      <c r="E9" s="30">
        <v>-372.26</v>
      </c>
      <c r="F9" s="30">
        <v>-1000</v>
      </c>
      <c r="G9" s="30">
        <v>-1000</v>
      </c>
      <c r="H9" s="30">
        <v>-165</v>
      </c>
      <c r="I9" s="30">
        <v>-749.5</v>
      </c>
      <c r="J9" s="30">
        <v>-538.5</v>
      </c>
      <c r="K9" s="30">
        <v>-600</v>
      </c>
      <c r="L9" s="30">
        <v>-506</v>
      </c>
      <c r="M9" s="30">
        <v>-700</v>
      </c>
      <c r="N9" s="30">
        <v>-8486.75</v>
      </c>
    </row>
    <row r="10" spans="1:14" x14ac:dyDescent="0.25">
      <c r="A10" s="33" t="s">
        <v>28</v>
      </c>
      <c r="B10" s="30">
        <v>-100</v>
      </c>
      <c r="C10" s="30">
        <v>-250</v>
      </c>
      <c r="D10" s="30">
        <v>-9.5</v>
      </c>
      <c r="E10" s="30">
        <v>-23.5</v>
      </c>
      <c r="F10" s="30"/>
      <c r="G10" s="30">
        <v>-100</v>
      </c>
      <c r="H10" s="30">
        <v>-300</v>
      </c>
      <c r="I10" s="30">
        <v>-400</v>
      </c>
      <c r="J10" s="30"/>
      <c r="K10" s="30"/>
      <c r="L10" s="30">
        <v>-133</v>
      </c>
      <c r="M10" s="30">
        <v>-10</v>
      </c>
      <c r="N10" s="30">
        <v>-1326</v>
      </c>
    </row>
    <row r="11" spans="1:14" x14ac:dyDescent="0.25">
      <c r="A11" s="33" t="s">
        <v>14</v>
      </c>
      <c r="B11" s="30">
        <v>-150</v>
      </c>
      <c r="C11" s="30">
        <v>-150</v>
      </c>
      <c r="D11" s="30">
        <v>-23</v>
      </c>
      <c r="E11" s="30">
        <v>-49</v>
      </c>
      <c r="F11" s="30">
        <v>-50</v>
      </c>
      <c r="G11" s="30">
        <v>-50</v>
      </c>
      <c r="H11" s="30"/>
      <c r="I11" s="30"/>
      <c r="J11" s="30">
        <v>-40</v>
      </c>
      <c r="K11" s="30">
        <v>-40</v>
      </c>
      <c r="L11" s="30">
        <v>-47</v>
      </c>
      <c r="M11" s="30"/>
      <c r="N11" s="30">
        <v>-599</v>
      </c>
    </row>
    <row r="12" spans="1:14" x14ac:dyDescent="0.25">
      <c r="A12" s="33" t="s">
        <v>17</v>
      </c>
      <c r="B12" s="30">
        <v>-500</v>
      </c>
      <c r="C12" s="30">
        <v>-765</v>
      </c>
      <c r="D12" s="30">
        <v>-300</v>
      </c>
      <c r="E12" s="30">
        <v>-100</v>
      </c>
      <c r="F12" s="30"/>
      <c r="G12" s="30"/>
      <c r="H12" s="30"/>
      <c r="I12" s="30"/>
      <c r="J12" s="30"/>
      <c r="K12" s="30"/>
      <c r="L12" s="30">
        <v>-234</v>
      </c>
      <c r="M12" s="30">
        <v>-700</v>
      </c>
      <c r="N12" s="30">
        <v>-2599</v>
      </c>
    </row>
    <row r="13" spans="1:14" x14ac:dyDescent="0.25">
      <c r="A13" s="33" t="s">
        <v>23</v>
      </c>
      <c r="B13" s="30">
        <v>-100</v>
      </c>
      <c r="C13" s="30">
        <v>-100</v>
      </c>
      <c r="D13" s="30">
        <v>-79.5</v>
      </c>
      <c r="E13" s="30">
        <v>-139</v>
      </c>
      <c r="F13" s="30"/>
      <c r="G13" s="30"/>
      <c r="H13" s="30"/>
      <c r="I13" s="30"/>
      <c r="J13" s="30"/>
      <c r="K13" s="30"/>
      <c r="L13" s="30"/>
      <c r="M13" s="30">
        <v>-100</v>
      </c>
      <c r="N13" s="30">
        <v>-518.5</v>
      </c>
    </row>
    <row r="14" spans="1:14" x14ac:dyDescent="0.25">
      <c r="A14" s="33" t="s">
        <v>21</v>
      </c>
      <c r="B14" s="30">
        <v>-80</v>
      </c>
      <c r="C14" s="30">
        <v>-80</v>
      </c>
      <c r="D14" s="30">
        <v>-82.5</v>
      </c>
      <c r="E14" s="30">
        <v>-82.5</v>
      </c>
      <c r="F14" s="30">
        <v>-80</v>
      </c>
      <c r="G14" s="30">
        <v>-80</v>
      </c>
      <c r="H14" s="30">
        <v>-90</v>
      </c>
      <c r="I14" s="30">
        <v>-290</v>
      </c>
      <c r="J14" s="30">
        <v>-150</v>
      </c>
      <c r="K14" s="30">
        <v>-150</v>
      </c>
      <c r="L14" s="30">
        <v>-208</v>
      </c>
      <c r="M14" s="30"/>
      <c r="N14" s="30">
        <v>-1373</v>
      </c>
    </row>
    <row r="15" spans="1:14" x14ac:dyDescent="0.25">
      <c r="A15" s="32" t="s">
        <v>33</v>
      </c>
      <c r="B15" s="30">
        <v>5655.5</v>
      </c>
      <c r="C15" s="30">
        <v>6565</v>
      </c>
      <c r="D15" s="30">
        <v>4655</v>
      </c>
      <c r="E15" s="30">
        <v>4700</v>
      </c>
      <c r="F15" s="30">
        <v>4500</v>
      </c>
      <c r="G15" s="30">
        <v>4900</v>
      </c>
      <c r="H15" s="30">
        <v>5920</v>
      </c>
      <c r="I15" s="30">
        <v>5400</v>
      </c>
      <c r="J15" s="30">
        <v>4500</v>
      </c>
      <c r="K15" s="30">
        <v>4500</v>
      </c>
      <c r="L15" s="30">
        <v>4900</v>
      </c>
      <c r="M15" s="30">
        <v>6500</v>
      </c>
      <c r="N15" s="30">
        <v>62695.5</v>
      </c>
    </row>
    <row r="16" spans="1:14" x14ac:dyDescent="0.25">
      <c r="A16" s="33" t="s">
        <v>19</v>
      </c>
      <c r="B16" s="30">
        <v>250</v>
      </c>
      <c r="C16" s="30"/>
      <c r="D16" s="30"/>
      <c r="E16" s="30"/>
      <c r="F16" s="30"/>
      <c r="G16" s="30">
        <v>400</v>
      </c>
      <c r="H16" s="30"/>
      <c r="I16" s="30"/>
      <c r="J16" s="30"/>
      <c r="K16" s="30"/>
      <c r="L16" s="30"/>
      <c r="M16" s="30"/>
      <c r="N16" s="30">
        <v>650</v>
      </c>
    </row>
    <row r="17" spans="1:14" x14ac:dyDescent="0.25">
      <c r="A17" s="33" t="s">
        <v>27</v>
      </c>
      <c r="B17" s="30">
        <v>105.5</v>
      </c>
      <c r="C17" s="30">
        <v>115</v>
      </c>
      <c r="D17" s="30">
        <v>150</v>
      </c>
      <c r="E17" s="30">
        <v>150</v>
      </c>
      <c r="F17" s="30"/>
      <c r="G17" s="30"/>
      <c r="H17" s="30">
        <v>120</v>
      </c>
      <c r="I17" s="30"/>
      <c r="J17" s="30"/>
      <c r="K17" s="30"/>
      <c r="L17" s="30"/>
      <c r="M17" s="30"/>
      <c r="N17" s="30">
        <v>640.5</v>
      </c>
    </row>
    <row r="18" spans="1:14" x14ac:dyDescent="0.25">
      <c r="A18" s="33" t="s">
        <v>30</v>
      </c>
      <c r="B18" s="30"/>
      <c r="C18" s="30"/>
      <c r="D18" s="30">
        <v>5</v>
      </c>
      <c r="E18" s="30">
        <v>50</v>
      </c>
      <c r="F18" s="30"/>
      <c r="G18" s="30"/>
      <c r="H18" s="30">
        <v>800</v>
      </c>
      <c r="I18" s="30">
        <v>400</v>
      </c>
      <c r="J18" s="30"/>
      <c r="K18" s="30"/>
      <c r="L18" s="30">
        <v>400</v>
      </c>
      <c r="M18" s="30">
        <v>2000</v>
      </c>
      <c r="N18" s="30">
        <v>3655</v>
      </c>
    </row>
    <row r="19" spans="1:14" x14ac:dyDescent="0.25">
      <c r="A19" s="33" t="s">
        <v>15</v>
      </c>
      <c r="B19" s="30">
        <v>800</v>
      </c>
      <c r="C19" s="30">
        <v>1950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>
        <v>2750</v>
      </c>
    </row>
    <row r="20" spans="1:14" x14ac:dyDescent="0.25">
      <c r="A20" s="33" t="s">
        <v>10</v>
      </c>
      <c r="B20" s="30">
        <v>4500</v>
      </c>
      <c r="C20" s="30">
        <v>4500</v>
      </c>
      <c r="D20" s="30">
        <v>4500</v>
      </c>
      <c r="E20" s="30">
        <v>4500</v>
      </c>
      <c r="F20" s="30">
        <v>4500</v>
      </c>
      <c r="G20" s="30">
        <v>4500</v>
      </c>
      <c r="H20" s="30">
        <v>4500</v>
      </c>
      <c r="I20" s="30">
        <v>4500</v>
      </c>
      <c r="J20" s="30">
        <v>4500</v>
      </c>
      <c r="K20" s="30">
        <v>4500</v>
      </c>
      <c r="L20" s="30">
        <v>4500</v>
      </c>
      <c r="M20" s="30">
        <v>4500</v>
      </c>
      <c r="N20" s="30">
        <v>54000</v>
      </c>
    </row>
    <row r="21" spans="1:14" x14ac:dyDescent="0.25">
      <c r="A21" s="33" t="s">
        <v>31</v>
      </c>
      <c r="B21" s="30"/>
      <c r="C21" s="30"/>
      <c r="D21" s="30"/>
      <c r="E21" s="30"/>
      <c r="F21" s="30"/>
      <c r="G21" s="30"/>
      <c r="H21" s="30">
        <v>500</v>
      </c>
      <c r="I21" s="30">
        <v>500</v>
      </c>
      <c r="J21" s="30"/>
      <c r="K21" s="30"/>
      <c r="L21" s="30"/>
      <c r="M21" s="30"/>
      <c r="N21" s="30">
        <v>1000</v>
      </c>
    </row>
    <row r="22" spans="1:14" x14ac:dyDescent="0.25">
      <c r="A22" s="32" t="s">
        <v>34</v>
      </c>
      <c r="B22" s="30"/>
      <c r="C22" s="30">
        <v>0</v>
      </c>
      <c r="D22" s="30"/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/>
      <c r="N22" s="30">
        <v>0</v>
      </c>
    </row>
    <row r="23" spans="1:14" x14ac:dyDescent="0.25">
      <c r="A23" s="33" t="s">
        <v>29</v>
      </c>
      <c r="B23" s="30"/>
      <c r="C23" s="30">
        <v>0</v>
      </c>
      <c r="D23" s="30"/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/>
      <c r="N23" s="30">
        <v>0</v>
      </c>
    </row>
    <row r="24" spans="1:14" x14ac:dyDescent="0.25">
      <c r="A24" s="32" t="s">
        <v>56</v>
      </c>
      <c r="B24" s="30">
        <v>845.5</v>
      </c>
      <c r="C24" s="30">
        <v>2464.5</v>
      </c>
      <c r="D24" s="30">
        <v>755.60999999999967</v>
      </c>
      <c r="E24" s="30">
        <v>726.84000000000015</v>
      </c>
      <c r="F24" s="30">
        <v>1290</v>
      </c>
      <c r="G24" s="30">
        <v>1170</v>
      </c>
      <c r="H24" s="30">
        <v>2915</v>
      </c>
      <c r="I24" s="30">
        <v>1410.5</v>
      </c>
      <c r="J24" s="30">
        <v>1751.5</v>
      </c>
      <c r="K24" s="30">
        <v>1670</v>
      </c>
      <c r="L24" s="30">
        <v>1400</v>
      </c>
      <c r="M24" s="30">
        <v>2420</v>
      </c>
      <c r="N24" s="30">
        <v>18819.449999999997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Dictionary</vt:lpstr>
      <vt:lpstr>operations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summary1</vt:lpstr>
      <vt:lpstr>summary2</vt:lpstr>
      <vt:lpstr>summary3</vt:lpstr>
    </vt:vector>
  </TitlesOfParts>
  <Manager/>
  <Company>Uniwersytet Ekonomiczny w Krakowie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RisSetupInstall</dc:creator>
  <cp:keywords/>
  <dc:description/>
  <cp:lastModifiedBy>en-A013-19</cp:lastModifiedBy>
  <cp:revision/>
  <dcterms:created xsi:type="dcterms:W3CDTF">2024-12-14T15:11:08Z</dcterms:created>
  <dcterms:modified xsi:type="dcterms:W3CDTF">2025-12-10T15:19:38Z</dcterms:modified>
  <cp:category/>
  <cp:contentStatus/>
</cp:coreProperties>
</file>